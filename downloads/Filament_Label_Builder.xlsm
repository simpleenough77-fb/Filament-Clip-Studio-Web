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avivi/Documents/Codex/2026-09-11/in/outputs/Clip_Label_Generator/"/>
    </mc:Choice>
  </mc:AlternateContent>
  <xr:revisionPtr revIDLastSave="0" documentId="13_ncr:1_{7057AE9C-F84C-A942-ADF8-DB9B9E9EDA50}" xr6:coauthVersionLast="47" xr6:coauthVersionMax="47" xr10:uidLastSave="{00000000-0000-0000-0000-000000000000}"/>
  <bookViews>
    <workbookView xWindow="54260" yWindow="720" windowWidth="22960" windowHeight="24620" xr2:uid="{00000000-000D-0000-FFFF-FFFF00000000}"/>
  </bookViews>
  <sheets>
    <sheet name="Labels" sheetId="1" r:id="rId1"/>
    <sheet name="Catalog" sheetId="2" r:id="rId2"/>
    <sheet name="Lists" sheetId="3" state="hidden" r:id="rId3"/>
  </sheets>
  <definedNames>
    <definedName name="C_1">Lists!$E$2:$E$12</definedName>
    <definedName name="C_10">Lists!$N$2:$N$4</definedName>
    <definedName name="C_11">Lists!$O$2:$O$2</definedName>
    <definedName name="C_12">Lists!$P$2:$P$14</definedName>
    <definedName name="C_13">Lists!$Q$2:$Q$10</definedName>
    <definedName name="C_14">Lists!$R$2:$R$7</definedName>
    <definedName name="C_15">Lists!$S$2:$S$15</definedName>
    <definedName name="C_16">Lists!$T$2:$T$3</definedName>
    <definedName name="C_17">Lists!$U$2:$U$31</definedName>
    <definedName name="C_18">Lists!$V$2:$V$9</definedName>
    <definedName name="C_19">Lists!$W$2:$W$5</definedName>
    <definedName name="C_2">Lists!$F$2:$F$7</definedName>
    <definedName name="C_20">Lists!$X$2:$X$6</definedName>
    <definedName name="C_21">Lists!$Y$2:$Y$3</definedName>
    <definedName name="C_22">Lists!$Z$2:$Z$26</definedName>
    <definedName name="C_23">Lists!$AA$2:$AA$6</definedName>
    <definedName name="C_24">Lists!$AB$2:$AB$6</definedName>
    <definedName name="C_25">Lists!$AC$2:$AC$11</definedName>
    <definedName name="C_26">Lists!$AD$2:$AD$14</definedName>
    <definedName name="C_27">Lists!$AE$2:$AE$7</definedName>
    <definedName name="C_28">Lists!$AF$2:$AF$8</definedName>
    <definedName name="C_29">Lists!$AG$2:$AG$11</definedName>
    <definedName name="C_3">Lists!$G$2:$G$7</definedName>
    <definedName name="C_30">Lists!$AH$2:$AH$7</definedName>
    <definedName name="C_31">Lists!$AI$2:$AI$8</definedName>
    <definedName name="C_32">Lists!$AJ$2:$AJ$2</definedName>
    <definedName name="C_33">Lists!$AK$2:$AK$2</definedName>
    <definedName name="C_34">Lists!$AL$2:$AL$2</definedName>
    <definedName name="C_35">Lists!$AM$2:$AM$2</definedName>
    <definedName name="C_36">Lists!$AN$2:$AN$2</definedName>
    <definedName name="C_37">Lists!$AO$2:$AO$2</definedName>
    <definedName name="C_38">Lists!$AP$2:$AP$3</definedName>
    <definedName name="C_39">Lists!$AQ$2:$AQ$6</definedName>
    <definedName name="C_4">Lists!$H$2:$H$2</definedName>
    <definedName name="C_40">Lists!$AR$2:$AR$9</definedName>
    <definedName name="C_41">Lists!$AS$2:$AS$7</definedName>
    <definedName name="C_42">Lists!$AT$2:$AT$8</definedName>
    <definedName name="C_43">Lists!$AV$2:$AV$9</definedName>
    <definedName name="C_44">Lists!$AW$2:$AW$3</definedName>
    <definedName name="C_45">Lists!$AX$2:$AX$15</definedName>
    <definedName name="C_46">Lists!$AY$2:$AY$77</definedName>
    <definedName name="C_47">Lists!$AZ$2:$AZ$13</definedName>
    <definedName name="C_48">Lists!$BA$2:$BA$32</definedName>
    <definedName name="C_5">Lists!$I$2:$I$2</definedName>
    <definedName name="C_6">Lists!$J$2:$J$2</definedName>
    <definedName name="C_7">Lists!$K$2:$K$6</definedName>
    <definedName name="C_8">Lists!$L$2:$L$2</definedName>
    <definedName name="C_9">Lists!$M$2:$M$5</definedName>
    <definedName name="EmptyList">Lists!$ZZ$1</definedName>
    <definedName name="M_1">Lists!$D$2:$D$43</definedName>
    <definedName name="M_2">Lists!$AU$2:$AU$7</definedName>
    <definedName name="Manufacturers">Lists!$A$2:$A$3</definedName>
    <definedName name="TypeLookup">Lists!$A$7:$B$54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5" i="1"/>
  <c r="E9" i="1"/>
  <c r="B6" i="1"/>
  <c r="E17" i="1" l="1"/>
  <c r="E16" i="1"/>
  <c r="E18" i="1"/>
  <c r="E19" i="1"/>
  <c r="E14" i="1"/>
  <c r="E13" i="1"/>
  <c r="E10" i="1"/>
  <c r="E12" i="1"/>
  <c r="E11" i="1"/>
</calcChain>
</file>

<file path=xl/sharedStrings.xml><?xml version="1.0" encoding="utf-8"?>
<sst xmlns="http://schemas.openxmlformats.org/spreadsheetml/2006/main" count="2683" uniqueCount="875">
  <si>
    <t>Filament labels</t>
  </si>
  <si>
    <t>Choose manufacturer, then type, then color. Enter a quantity.</t>
  </si>
  <si>
    <t>Changing a selection can invalidate the fields to its right. Check the Status column.</t>
  </si>
  <si>
    <t>Total clips</t>
  </si>
  <si>
    <t>Maximum 100 per batch</t>
  </si>
  <si>
    <t>manufacturer</t>
  </si>
  <si>
    <t>filament_type</t>
  </si>
  <si>
    <t>color_name</t>
  </si>
  <si>
    <t>quantity</t>
  </si>
  <si>
    <t>Status</t>
  </si>
  <si>
    <t>Bambu Lab</t>
  </si>
  <si>
    <t>PLA Basic</t>
  </si>
  <si>
    <t>Black</t>
  </si>
  <si>
    <t>Cookiecad</t>
  </si>
  <si>
    <t>PLA</t>
  </si>
  <si>
    <t>Dark Magic</t>
  </si>
  <si>
    <t>PLA Matte</t>
  </si>
  <si>
    <t>Charcoal</t>
  </si>
  <si>
    <t>Manufacturer</t>
  </si>
  <si>
    <t>Filament type</t>
  </si>
  <si>
    <t>Color / name</t>
  </si>
  <si>
    <t>Source</t>
  </si>
  <si>
    <t>Swatch</t>
  </si>
  <si>
    <t>PETG-HF</t>
  </si>
  <si>
    <t>Blue</t>
  </si>
  <si>
    <t>https://us.store.bambulab.com/products/petg-hf</t>
  </si>
  <si>
    <t>#002E96</t>
  </si>
  <si>
    <t>ABS</t>
  </si>
  <si>
    <t>Azure</t>
  </si>
  <si>
    <t>https://us.store.bambulab.com/products/abs-filament</t>
  </si>
  <si>
    <t>#489FDF</t>
  </si>
  <si>
    <t>Bambu Green</t>
  </si>
  <si>
    <t>#00AE42</t>
  </si>
  <si>
    <t>#000000</t>
  </si>
  <si>
    <t>#0A2CA5</t>
  </si>
  <si>
    <t>Navy Blue</t>
  </si>
  <si>
    <t>#0C2340</t>
  </si>
  <si>
    <t>Olive</t>
  </si>
  <si>
    <t>#789D4A</t>
  </si>
  <si>
    <t>Orange</t>
  </si>
  <si>
    <t>#FF6A13</t>
  </si>
  <si>
    <t>Red</t>
  </si>
  <si>
    <t>#D32941</t>
  </si>
  <si>
    <t>Silver</t>
  </si>
  <si>
    <t>#87909A</t>
  </si>
  <si>
    <t>Tangerine Yellow</t>
  </si>
  <si>
    <t>#FFC72C</t>
  </si>
  <si>
    <t>White</t>
  </si>
  <si>
    <t>#FFFFFF</t>
  </si>
  <si>
    <t>ABS-GF</t>
  </si>
  <si>
    <t>https://us.store.bambulab.com/products/abs-gf</t>
  </si>
  <si>
    <t>#0C3B95</t>
  </si>
  <si>
    <t>Gray</t>
  </si>
  <si>
    <t>#C6C6C6</t>
  </si>
  <si>
    <t>#F48438</t>
  </si>
  <si>
    <t>#E83100</t>
  </si>
  <si>
    <t>ASA</t>
  </si>
  <si>
    <t>https://us.store.bambulab.com/products/asa-filament</t>
  </si>
  <si>
    <t>#2140B4</t>
  </si>
  <si>
    <t>#8A949E</t>
  </si>
  <si>
    <t>Green</t>
  </si>
  <si>
    <t>#00A6A0</t>
  </si>
  <si>
    <t>#E02928</t>
  </si>
  <si>
    <t>#FFFAF2</t>
  </si>
  <si>
    <t>ASA Aero</t>
  </si>
  <si>
    <t>https://us.store.bambulab.com/products/asa-aero</t>
  </si>
  <si>
    <t>#F5F1DD</t>
  </si>
  <si>
    <t>ASA-CF</t>
  </si>
  <si>
    <t>https://us.store.bambulab.com/products/asa-cf</t>
  </si>
  <si>
    <t>PA6-CF</t>
  </si>
  <si>
    <t>https://us.store.bambulab.com/products/pa6-cf</t>
  </si>
  <si>
    <t>PA6-GF</t>
  </si>
  <si>
    <t>https://us.store.bambulab.com/products/pa6-gf</t>
  </si>
  <si>
    <t>#75AED8</t>
  </si>
  <si>
    <t>#353533</t>
  </si>
  <si>
    <t>#FF4800</t>
  </si>
  <si>
    <t>#EAEAE4</t>
  </si>
  <si>
    <t>PAHT-CF</t>
  </si>
  <si>
    <t>https://us.store.bambulab.com/products/paht-cf</t>
  </si>
  <si>
    <t>PC</t>
  </si>
  <si>
    <t>https://us.store.bambulab.com/products/pc-filament</t>
  </si>
  <si>
    <t>Clear Black</t>
  </si>
  <si>
    <t>#5A5161</t>
  </si>
  <si>
    <t>Transparent</t>
  </si>
  <si>
    <t>PC FR</t>
  </si>
  <si>
    <t>https://us.store.bambulab.com/products/pc-fr</t>
  </si>
  <si>
    <t>#A8A8AA</t>
  </si>
  <si>
    <t>PET-CF</t>
  </si>
  <si>
    <t>https://us.store.bambulab.com/products/pet-cf</t>
  </si>
  <si>
    <t>PETG Basic</t>
  </si>
  <si>
    <t>https://us.store.bambulab.com/products/petg-basic</t>
  </si>
  <si>
    <t>Dark Beige</t>
  </si>
  <si>
    <t>#DBC8B7</t>
  </si>
  <si>
    <t>Dark Brown</t>
  </si>
  <si>
    <t>#502C1E</t>
  </si>
  <si>
    <t>#7F7E83</t>
  </si>
  <si>
    <t>#01963A</t>
  </si>
  <si>
    <t>Misty Blue</t>
  </si>
  <si>
    <t>#688197</t>
  </si>
  <si>
    <t>#0185D7</t>
  </si>
  <si>
    <t>#FF671E</t>
  </si>
  <si>
    <t>Pine Green</t>
  </si>
  <si>
    <t>#034537</t>
  </si>
  <si>
    <t>#D6001C</t>
  </si>
  <si>
    <t>Reflex Blue</t>
  </si>
  <si>
    <t>#001389</t>
  </si>
  <si>
    <t>Yellow</t>
  </si>
  <si>
    <t>#FCE300</t>
  </si>
  <si>
    <t>PETG Translucent</t>
  </si>
  <si>
    <t>Brown</t>
  </si>
  <si>
    <t>https://us.store.bambulab.com/products/petg-translucent</t>
  </si>
  <si>
    <t>#E5C688</t>
  </si>
  <si>
    <t>Clear</t>
  </si>
  <si>
    <t>#E0E0E0</t>
  </si>
  <si>
    <t>#8E8E8E</t>
  </si>
  <si>
    <t>Light Blue</t>
  </si>
  <si>
    <t>#61B0FF</t>
  </si>
  <si>
    <t>#748C45</t>
  </si>
  <si>
    <t>#FF911A</t>
  </si>
  <si>
    <t>Pink</t>
  </si>
  <si>
    <t>#F9C1BD</t>
  </si>
  <si>
    <t>Purple</t>
  </si>
  <si>
    <t>#D6ABFF</t>
  </si>
  <si>
    <t>Teal</t>
  </si>
  <si>
    <t>#77EDD7</t>
  </si>
  <si>
    <t>PETG-CF</t>
  </si>
  <si>
    <t>https://us.store.bambulab.com/products/petg-cf</t>
  </si>
  <si>
    <t>Brick Red</t>
  </si>
  <si>
    <t>#9F332A</t>
  </si>
  <si>
    <t>Indigo Blue</t>
  </si>
  <si>
    <t>#324585</t>
  </si>
  <si>
    <t>Malachite Green</t>
  </si>
  <si>
    <t>#16B08E</t>
  </si>
  <si>
    <t>Titan Gray</t>
  </si>
  <si>
    <t>#565656</t>
  </si>
  <si>
    <t>Violet Purple</t>
  </si>
  <si>
    <t>#583061</t>
  </si>
  <si>
    <t>Cream</t>
  </si>
  <si>
    <t>#F9DFB9</t>
  </si>
  <si>
    <t>Dark Gray</t>
  </si>
  <si>
    <t>#515151</t>
  </si>
  <si>
    <t>Forest Green</t>
  </si>
  <si>
    <t>#39541A</t>
  </si>
  <si>
    <t>#ADB1B2</t>
  </si>
  <si>
    <t>Lake Blue</t>
  </si>
  <si>
    <t>#1F79E5</t>
  </si>
  <si>
    <t>Lime Green</t>
  </si>
  <si>
    <t>#6EE53C</t>
  </si>
  <si>
    <t>#F75403</t>
  </si>
  <si>
    <t>Peanut Brown</t>
  </si>
  <si>
    <t>#875718</t>
  </si>
  <si>
    <t>#EB3A3A</t>
  </si>
  <si>
    <t>#FFD00B</t>
  </si>
  <si>
    <t>PLA Aero</t>
  </si>
  <si>
    <t>https://us.store.bambulab.com/products/pla-aero</t>
  </si>
  <si>
    <t>#CDCECA</t>
  </si>
  <si>
    <t>https://us.store.bambulab.com/products/pla-basic-filament</t>
  </si>
  <si>
    <t>#16C344</t>
  </si>
  <si>
    <t>Beige</t>
  </si>
  <si>
    <t>#F7E6DE</t>
  </si>
  <si>
    <t>#0A2989</t>
  </si>
  <si>
    <t>Blue Grey</t>
  </si>
  <si>
    <t>#5B6579</t>
  </si>
  <si>
    <t>Bright Green</t>
  </si>
  <si>
    <t>#BDCF00</t>
  </si>
  <si>
    <t>Bronze</t>
  </si>
  <si>
    <t>#847D48</t>
  </si>
  <si>
    <t>#9D432C</t>
  </si>
  <si>
    <t>Cobalt Blue</t>
  </si>
  <si>
    <t>#0055B8</t>
  </si>
  <si>
    <t>Cocoa Brown</t>
  </si>
  <si>
    <t>#6F5034</t>
  </si>
  <si>
    <t>Cyan</t>
  </si>
  <si>
    <t>#0086D6</t>
  </si>
  <si>
    <t>#545454</t>
  </si>
  <si>
    <t>Gold</t>
  </si>
  <si>
    <t>#E4BD68</t>
  </si>
  <si>
    <t>#8E9089</t>
  </si>
  <si>
    <t>Hot Pink</t>
  </si>
  <si>
    <t>#F5547C</t>
  </si>
  <si>
    <t>Indigo Purple</t>
  </si>
  <si>
    <t>#482A60</t>
  </si>
  <si>
    <t>Jade White</t>
  </si>
  <si>
    <t>Light Gray</t>
  </si>
  <si>
    <t>#D1D3D5</t>
  </si>
  <si>
    <t>Magenta</t>
  </si>
  <si>
    <t>#EC008C</t>
  </si>
  <si>
    <t>Maroon Red</t>
  </si>
  <si>
    <t>#9D2236</t>
  </si>
  <si>
    <t>Mistletoe Green</t>
  </si>
  <si>
    <t>#3F8E43</t>
  </si>
  <si>
    <t>#F55A74</t>
  </si>
  <si>
    <t>Pumpkin Orange</t>
  </si>
  <si>
    <t>#FF8E16</t>
  </si>
  <si>
    <t>#5E43B7</t>
  </si>
  <si>
    <t>#C12E1F</t>
  </si>
  <si>
    <t>#A6A9AA</t>
  </si>
  <si>
    <t>Sunflower Yellow</t>
  </si>
  <si>
    <t>#FEC601</t>
  </si>
  <si>
    <t>Turquoise</t>
  </si>
  <si>
    <t>#00B1B7</t>
  </si>
  <si>
    <t>#F4EE2A</t>
  </si>
  <si>
    <t>PLA Basic Gradient</t>
  </si>
  <si>
    <t>Arctic Whisper</t>
  </si>
  <si>
    <t>https://us.store.bambulab.com/products/pla-basic-gradient</t>
  </si>
  <si>
    <t>#E3F7F7</t>
  </si>
  <si>
    <t>Blueberry Bubblegum</t>
  </si>
  <si>
    <t>#BCDDF6</t>
  </si>
  <si>
    <t>Cotton Candy Cloud</t>
  </si>
  <si>
    <t>#E9E2ED</t>
  </si>
  <si>
    <t>Dusk Glare</t>
  </si>
  <si>
    <t>#F2AD83</t>
  </si>
  <si>
    <t>Mint Lime</t>
  </si>
  <si>
    <t>#BBF583</t>
  </si>
  <si>
    <t>Ocean to Meadow</t>
  </si>
  <si>
    <t>#8BE8CC</t>
  </si>
  <si>
    <t>Pink Citrus</t>
  </si>
  <si>
    <t>#F8BDB5</t>
  </si>
  <si>
    <t>Solar Breeze</t>
  </si>
  <si>
    <t>#F8C5C0</t>
  </si>
  <si>
    <t>PLA Galaxy</t>
  </si>
  <si>
    <t>https://us.store.bambulab.com/products/pla-galaxy</t>
  </si>
  <si>
    <t>#684A43</t>
  </si>
  <si>
    <t>#3B665E</t>
  </si>
  <si>
    <t>Nebulae</t>
  </si>
  <si>
    <t>#424379</t>
  </si>
  <si>
    <t>#594177</t>
  </si>
  <si>
    <t>PLA Glow</t>
  </si>
  <si>
    <t>Glow Blue</t>
  </si>
  <si>
    <t>https://us.store.bambulab.com/products/pla-glow</t>
  </si>
  <si>
    <t>#7AC0E9</t>
  </si>
  <si>
    <t>Glow Green</t>
  </si>
  <si>
    <t>#A1FFAC</t>
  </si>
  <si>
    <t>Glow Orange</t>
  </si>
  <si>
    <t>#FF9D5B</t>
  </si>
  <si>
    <t>Glow Pink</t>
  </si>
  <si>
    <t>#F17B8F</t>
  </si>
  <si>
    <t>Glow Yellow</t>
  </si>
  <si>
    <t>#F8FF80</t>
  </si>
  <si>
    <t>PLA Marble</t>
  </si>
  <si>
    <t>Red Granite</t>
  </si>
  <si>
    <t>https://us.store.bambulab.com/products/pla-marble</t>
  </si>
  <si>
    <t>#AD4E38</t>
  </si>
  <si>
    <t>White Marble</t>
  </si>
  <si>
    <t>#F7F3F0</t>
  </si>
  <si>
    <t>Apple Green</t>
  </si>
  <si>
    <t>https://us.store.bambulab.com/products/pla-matte</t>
  </si>
  <si>
    <t>#C2E189</t>
  </si>
  <si>
    <t>Ash Gray</t>
  </si>
  <si>
    <t>#9B9EA0</t>
  </si>
  <si>
    <t>Bone White</t>
  </si>
  <si>
    <t>#CBC6B8</t>
  </si>
  <si>
    <t>Caramel</t>
  </si>
  <si>
    <t>#AE835B</t>
  </si>
  <si>
    <t>Dark Blue</t>
  </si>
  <si>
    <t>#042F56</t>
  </si>
  <si>
    <t>#7D6556</t>
  </si>
  <si>
    <t>Dark Chocolate</t>
  </si>
  <si>
    <t>#4D3324</t>
  </si>
  <si>
    <t>Dark Green</t>
  </si>
  <si>
    <t>#68724D</t>
  </si>
  <si>
    <t>Dark Red</t>
  </si>
  <si>
    <t>#BB3D43</t>
  </si>
  <si>
    <t>Desert Tan</t>
  </si>
  <si>
    <t>#E8DBB7</t>
  </si>
  <si>
    <t>Grass Green</t>
  </si>
  <si>
    <t>#61C680</t>
  </si>
  <si>
    <t>Ice Blue</t>
  </si>
  <si>
    <t>#A3D8E1</t>
  </si>
  <si>
    <t>Ivory White</t>
  </si>
  <si>
    <t>Latte Brown</t>
  </si>
  <si>
    <t>#D3B7A7</t>
  </si>
  <si>
    <t>Lemon Yellow</t>
  </si>
  <si>
    <t>#F7D959</t>
  </si>
  <si>
    <t>Lilac purple</t>
  </si>
  <si>
    <t>#AE96D4</t>
  </si>
  <si>
    <t>Mandarin Orange</t>
  </si>
  <si>
    <t>#F99963</t>
  </si>
  <si>
    <t>Marine Blue</t>
  </si>
  <si>
    <t>#0078BF</t>
  </si>
  <si>
    <t>Nardo Gray</t>
  </si>
  <si>
    <t>#757575</t>
  </si>
  <si>
    <t>Plum</t>
  </si>
  <si>
    <t>#950051</t>
  </si>
  <si>
    <t>Sakura Pink</t>
  </si>
  <si>
    <t>#E8AFCF</t>
  </si>
  <si>
    <t>Scarlet Red</t>
  </si>
  <si>
    <t>#DE4343</t>
  </si>
  <si>
    <t>Sky Blue</t>
  </si>
  <si>
    <t>#56B7E6</t>
  </si>
  <si>
    <t>Terracotta</t>
  </si>
  <si>
    <t>#B15533</t>
  </si>
  <si>
    <t>PLA Metal</t>
  </si>
  <si>
    <t>Cobalt Blue Metallic</t>
  </si>
  <si>
    <t>https://us.store.bambulab.com/products/pla-metal</t>
  </si>
  <si>
    <t>#39699E</t>
  </si>
  <si>
    <t>Copper Brown Metallic</t>
  </si>
  <si>
    <t>#AA6443</t>
  </si>
  <si>
    <t>Iridium Gold Metallic</t>
  </si>
  <si>
    <t>#B39B84</t>
  </si>
  <si>
    <t>Iron Gray Metallic</t>
  </si>
  <si>
    <t>#43403D</t>
  </si>
  <si>
    <t>Oxide Green Metallic</t>
  </si>
  <si>
    <t>#1D7C6A</t>
  </si>
  <si>
    <t>PLA Pure</t>
  </si>
  <si>
    <t>Absolute Black</t>
  </si>
  <si>
    <t>https://us.store.bambulab.com/products/pla-pure</t>
  </si>
  <si>
    <t>Apricot</t>
  </si>
  <si>
    <t>#FFB672</t>
  </si>
  <si>
    <t>Baby Blue</t>
  </si>
  <si>
    <t>#A5DAE8</t>
  </si>
  <si>
    <t>Milky Pink</t>
  </si>
  <si>
    <t>#F7CDD7</t>
  </si>
  <si>
    <t>Pure White</t>
  </si>
  <si>
    <t>PLA Silk Multi-Color</t>
  </si>
  <si>
    <t>Aurora Purple</t>
  </si>
  <si>
    <t>https://us.store.bambulab.com/products/pla-silk-multi-color</t>
  </si>
  <si>
    <t>#6342A1</t>
  </si>
  <si>
    <t>Blue Hawaii</t>
  </si>
  <si>
    <t>#4DE5A0</t>
  </si>
  <si>
    <t>Dawn Radiance</t>
  </si>
  <si>
    <t>#7ACBB2</t>
  </si>
  <si>
    <t>Gilded Rose</t>
  </si>
  <si>
    <t>#FF9425</t>
  </si>
  <si>
    <t>Midnight Blaze</t>
  </si>
  <si>
    <t>#7D1B49</t>
  </si>
  <si>
    <t>Mystic Magenta</t>
  </si>
  <si>
    <t>#3A913F</t>
  </si>
  <si>
    <t>Neon City</t>
  </si>
  <si>
    <t>#0047BB</t>
  </si>
  <si>
    <t>Phantom Blue</t>
  </si>
  <si>
    <t>South Beach</t>
  </si>
  <si>
    <t>#C6789F</t>
  </si>
  <si>
    <t>Velvet Eclipse</t>
  </si>
  <si>
    <t>PLA Silk+</t>
  </si>
  <si>
    <t>https://us.store.bambulab.com/products/pla-silk-upgrade</t>
  </si>
  <si>
    <t>#A8C6EE</t>
  </si>
  <si>
    <t>#008BDA</t>
  </si>
  <si>
    <t>Candy Green</t>
  </si>
  <si>
    <t>#018814</t>
  </si>
  <si>
    <t>Candy Red</t>
  </si>
  <si>
    <t>#D02727</t>
  </si>
  <si>
    <t>Champagne</t>
  </si>
  <si>
    <t>#F3CFB2</t>
  </si>
  <si>
    <t>#F4A925</t>
  </si>
  <si>
    <t>Mint</t>
  </si>
  <si>
    <t>#96DCB9</t>
  </si>
  <si>
    <t>#F7ADA6</t>
  </si>
  <si>
    <t>#8671CB</t>
  </si>
  <si>
    <t>Rose Gold</t>
  </si>
  <si>
    <t>#BA9594</t>
  </si>
  <si>
    <t>#C8C8C8</t>
  </si>
  <si>
    <t>#5F6367</t>
  </si>
  <si>
    <t>PLA Sparkle</t>
  </si>
  <si>
    <t>Alpine Green Sparkle</t>
  </si>
  <si>
    <t>https://us.store.bambulab.com/products/pla-sparkle</t>
  </si>
  <si>
    <t>#3F5443</t>
  </si>
  <si>
    <t>Classic Gold Sparkle</t>
  </si>
  <si>
    <t>#CEA629</t>
  </si>
  <si>
    <t>Crimson Red Sparkle</t>
  </si>
  <si>
    <t>#792B36</t>
  </si>
  <si>
    <t>Onyx Black Sparkle</t>
  </si>
  <si>
    <t>#2D2B28</t>
  </si>
  <si>
    <t>Royal Purple Sparkle</t>
  </si>
  <si>
    <t>#483D8B</t>
  </si>
  <si>
    <t>Slate Gray Sparkle</t>
  </si>
  <si>
    <t>PLA Tough+</t>
  </si>
  <si>
    <t>https://us.store.bambulab.com/products/pla-tough-upgrade</t>
  </si>
  <si>
    <t>#019BD9</t>
  </si>
  <si>
    <t>#AFB1AE</t>
  </si>
  <si>
    <t>#DC3926</t>
  </si>
  <si>
    <t>#959698</t>
  </si>
  <si>
    <t>#F4D53F</t>
  </si>
  <si>
    <t>PLA Translucent</t>
  </si>
  <si>
    <t>https://us.store.bambulab.com/products/pla-translucent</t>
  </si>
  <si>
    <t>Cherry Pink</t>
  </si>
  <si>
    <t>#F5B6CD</t>
  </si>
  <si>
    <t>#B8CDE9</t>
  </si>
  <si>
    <t>Lavender</t>
  </si>
  <si>
    <t>#B8ACD6</t>
  </si>
  <si>
    <t>Light Jade</t>
  </si>
  <si>
    <t>#96D8AF</t>
  </si>
  <si>
    <t>Mellow Yellow</t>
  </si>
  <si>
    <t>#F5DBAB</t>
  </si>
  <si>
    <t>#F74E02</t>
  </si>
  <si>
    <t>#8344B0</t>
  </si>
  <si>
    <t>#B50011</t>
  </si>
  <si>
    <t>#009FA1</t>
  </si>
  <si>
    <t>PLA Wood</t>
  </si>
  <si>
    <t>Black Walnut</t>
  </si>
  <si>
    <t>https://us.store.bambulab.com/products/pla-wood</t>
  </si>
  <si>
    <t>#4F3F24</t>
  </si>
  <si>
    <t>Classic Birch</t>
  </si>
  <si>
    <t>#918669</t>
  </si>
  <si>
    <t>Clay Brown</t>
  </si>
  <si>
    <t>#995F11</t>
  </si>
  <si>
    <t>Ochre Yellow</t>
  </si>
  <si>
    <t>#C98935</t>
  </si>
  <si>
    <t>Rosewood</t>
  </si>
  <si>
    <t>#4C241C</t>
  </si>
  <si>
    <t>White Oak</t>
  </si>
  <si>
    <t>#D6CCA3</t>
  </si>
  <si>
    <t>PLA-CF</t>
  </si>
  <si>
    <t>https://us.store.bambulab.com/products/pla-cf</t>
  </si>
  <si>
    <t>Burgundy Red</t>
  </si>
  <si>
    <t>#951E23</t>
  </si>
  <si>
    <t>Iris Purple</t>
  </si>
  <si>
    <t>#69398E</t>
  </si>
  <si>
    <t>Jeans Blue</t>
  </si>
  <si>
    <t>#6E88BC</t>
  </si>
  <si>
    <t>Lava Gray</t>
  </si>
  <si>
    <t>#4D5054</t>
  </si>
  <si>
    <t>Matcha Green</t>
  </si>
  <si>
    <t>#5C9748</t>
  </si>
  <si>
    <t>Royal Blue</t>
  </si>
  <si>
    <t>#2842AD</t>
  </si>
  <si>
    <t>PPA-CF</t>
  </si>
  <si>
    <t>https://us.store.bambulab.com/products/ppa-cf</t>
  </si>
  <si>
    <t>PPS-CF</t>
  </si>
  <si>
    <t>https://us.store.bambulab.com/products/pps-cf</t>
  </si>
  <si>
    <t>PVA</t>
  </si>
  <si>
    <t>https://us.store.bambulab.com/products/pva</t>
  </si>
  <si>
    <t>#F0F1A8</t>
  </si>
  <si>
    <t>Support for ABS</t>
  </si>
  <si>
    <t>https://us.store.bambulab.com/products/support-for-abs</t>
  </si>
  <si>
    <t>Support for PA/PET</t>
  </si>
  <si>
    <t>https://us.store.bambulab.com/products/support-for-pa-pet</t>
  </si>
  <si>
    <t>#C0DF16</t>
  </si>
  <si>
    <t>Support for PLA (New Version)</t>
  </si>
  <si>
    <t>https://us.store.bambulab.com/products/support-for-pla-new</t>
  </si>
  <si>
    <t>Support for PLA/PETG</t>
  </si>
  <si>
    <t>https://us.store.bambulab.com/products/support-for-pla-petg</t>
  </si>
  <si>
    <t>Nature</t>
  </si>
  <si>
    <t>TPU 85A</t>
  </si>
  <si>
    <t>https://us.store.bambulab.com/products/tpu-85a-tpu-90a</t>
  </si>
  <si>
    <t>Light Cyan</t>
  </si>
  <si>
    <t>#B9E3DF</t>
  </si>
  <si>
    <t>#CDEA80</t>
  </si>
  <si>
    <t>Neon Orange</t>
  </si>
  <si>
    <t>#F68A1B</t>
  </si>
  <si>
    <t>Rose Beige/Flesh</t>
  </si>
  <si>
    <t>TPU 90A</t>
  </si>
  <si>
    <t>Blaze</t>
  </si>
  <si>
    <t>#F3BBBF</t>
  </si>
  <si>
    <t>#5C4738</t>
  </si>
  <si>
    <t>Crystal Blue</t>
  </si>
  <si>
    <t>#7EB4E1</t>
  </si>
  <si>
    <t>Frozen</t>
  </si>
  <si>
    <t>#BDE7F8</t>
  </si>
  <si>
    <t>Grape Jelly</t>
  </si>
  <si>
    <t>Quicksilver</t>
  </si>
  <si>
    <t>#9EA2A3</t>
  </si>
  <si>
    <t>TPU 95A HF</t>
  </si>
  <si>
    <t>https://us.store.bambulab.com/products/tpu-95a-hf</t>
  </si>
  <si>
    <t>#101820</t>
  </si>
  <si>
    <t>#0072CE</t>
  </si>
  <si>
    <t>#898D8D</t>
  </si>
  <si>
    <t>#C8102E</t>
  </si>
  <si>
    <t>#F3E600</t>
  </si>
  <si>
    <t>TPU for AMS</t>
  </si>
  <si>
    <t>https://us.store.bambulab.com/products/tpu-for-ams</t>
  </si>
  <si>
    <t>#5898DD</t>
  </si>
  <si>
    <t>#939393</t>
  </si>
  <si>
    <t>Neon Green</t>
  </si>
  <si>
    <t>#90FF1A</t>
  </si>
  <si>
    <t>#ED0000</t>
  </si>
  <si>
    <t>#F9EF41</t>
  </si>
  <si>
    <t>https://cookiecad.com/products/copy-of-petg-dark-magic-petg-filament-1-75mm-1kg</t>
  </si>
  <si>
    <t>#24405F</t>
  </si>
  <si>
    <t>Green Apple Elixir</t>
  </si>
  <si>
    <t>https://cookiecad.com/products/abs-green-apple-elixir-abs-filament-1-75mm-1kg</t>
  </si>
  <si>
    <t>#B2DA76</t>
  </si>
  <si>
    <t>Mermaid</t>
  </si>
  <si>
    <t>https://cookiecad.com/products/abs-mermaid-abs-filament-1-75mm-1kg</t>
  </si>
  <si>
    <t>#00B0E7</t>
  </si>
  <si>
    <t>Pixie Dust</t>
  </si>
  <si>
    <t>https://cookiecad.com/products/abs-pixie-dust-abs-filament-1-75mm-1kg</t>
  </si>
  <si>
    <t>#F6528F</t>
  </si>
  <si>
    <t>Sunrise Elixir</t>
  </si>
  <si>
    <t>https://cookiecad.com/products/abs-sunrise-elixir-abs-filament-1-75mm-1kg</t>
  </si>
  <si>
    <t>#FAE400</t>
  </si>
  <si>
    <t>Sunset Elixir</t>
  </si>
  <si>
    <t>https://cookiecad.com/products/abs-sunset-elixir-abs-filament-1-75mm-1kg</t>
  </si>
  <si>
    <t>#E01691</t>
  </si>
  <si>
    <t>Unicorn</t>
  </si>
  <si>
    <t>https://cookiecad.com/products/copy-of-unicorn-🦄-pink-blue-purple-pla-filament-1-75mm-1kg</t>
  </si>
  <si>
    <t>#49C5E4</t>
  </si>
  <si>
    <t>Witches Blue</t>
  </si>
  <si>
    <t>https://cookiecad.com/products/abs-witches-blue-abs-filament-1-75mm-1kg</t>
  </si>
  <si>
    <t>#31008F</t>
  </si>
  <si>
    <t>https://cookiecad.com/products/asa-dark-magic-abs-filament-1-75mm-1kg</t>
  </si>
  <si>
    <t>Unicorn Elixir</t>
  </si>
  <si>
    <t>https://cookiecad.com/products/asa-unicorn-elixir-asa-filament-1-75mm-1kg</t>
  </si>
  <si>
    <t>PETG</t>
  </si>
  <si>
    <t>Blue Star Stuff</t>
  </si>
  <si>
    <t>https://cookiecad.com/products/petg-blue-star-stuff-petg-filament-1-75mm-1kg</t>
  </si>
  <si>
    <t>#8CD4E5</t>
  </si>
  <si>
    <t>https://cookiecad.com/products/petg-dark-magic-petg-filament-1-75mm-1kg</t>
  </si>
  <si>
    <t>Fairy Floss</t>
  </si>
  <si>
    <t>https://cookiecad.com/products/petg-fairy-floss-petg-filament-1-75mm-1kg</t>
  </si>
  <si>
    <t>#96D8E9</t>
  </si>
  <si>
    <t>Funfetti</t>
  </si>
  <si>
    <t>https://cookiecad.com/products/petg-funfetti-petg-filament-1-75mm-1kg</t>
  </si>
  <si>
    <t>#DFE5E8</t>
  </si>
  <si>
    <t>Gold Dust</t>
  </si>
  <si>
    <t>https://cookiecad.com/products/petg-gold-dust-petg-filament-1-75mm</t>
  </si>
  <si>
    <t>https://cookiecad.com/products/petg-green-apple-elixir-petg-filament-1-75mm-1kg</t>
  </si>
  <si>
    <t>https://cookiecad.com/products/lavender-petg-filament-1-75mm-1kg</t>
  </si>
  <si>
    <t>#D6A6E5</t>
  </si>
  <si>
    <t>https://cookiecad.com/products/copy-of-petg-unicorn-petg-filament-1-75mm-1kg</t>
  </si>
  <si>
    <t>Mint Green</t>
  </si>
  <si>
    <t>https://cookiecad.com/products/mint-green-petg-filament-1-75mm-1kg</t>
  </si>
  <si>
    <t>#A6E8DB</t>
  </si>
  <si>
    <t>Pink Star Stuff</t>
  </si>
  <si>
    <t>https://cookiecad.com/products/petg-pink-star-stuff-petg-filament-1-75mm-1kg</t>
  </si>
  <si>
    <t>#F3CFD3</t>
  </si>
  <si>
    <t>https://cookiecad.com/products/petg-pixie-dust-petg-filament-1-75mm-1kg</t>
  </si>
  <si>
    <t>Purple Star Stuff</t>
  </si>
  <si>
    <t>https://cookiecad.com/products/petg-purple-star-stuff-petg-filament-1-75mm-1kg</t>
  </si>
  <si>
    <t>#D9ABE0</t>
  </si>
  <si>
    <t>https://cookiecad.com/products/petg-unicorn-petg-filament-1-75mm-1kg</t>
  </si>
  <si>
    <t>Witchcraft</t>
  </si>
  <si>
    <t>https://cookiecad.com/products/petg-witchcraft-petg-filament-1-75mm-1kg</t>
  </si>
  <si>
    <t>#7C40DF</t>
  </si>
  <si>
    <t>https://cookiecad.com/products/matt-black-pla-filament-1-75mm-1kg</t>
  </si>
  <si>
    <t>Black Star Stuff</t>
  </si>
  <si>
    <t>https://cookiecad.com/products/black-star-stuff-pla-filament-1-75mm-1kg</t>
  </si>
  <si>
    <t>Blue Chip Marble</t>
  </si>
  <si>
    <t>https://cookiecad.com/products/blue-chip-marble-pla-filament-1-75mm-1kg-1</t>
  </si>
  <si>
    <t>Blue Ombré</t>
  </si>
  <si>
    <t>https://cookiecad.com/products/blue-ombre-pla-filament-1-75mm-1kg</t>
  </si>
  <si>
    <t>Blue Ombré Elixir</t>
  </si>
  <si>
    <t>https://cookiecad.com/products/blue-ombre-elixir-pla-filament-1-75mm-1kg</t>
  </si>
  <si>
    <t>Blue Pearl</t>
  </si>
  <si>
    <t>https://cookiecad.com/products/pearl-blue-pla-filament-1-75mm-1kg</t>
  </si>
  <si>
    <t>https://cookiecad.com/products/blue-star-stuff-translucent-blue-with-silver-glitter-pla-filament-1-75mm-1kg</t>
  </si>
  <si>
    <t>Bubblegum Elixir</t>
  </si>
  <si>
    <t>https://cookiecad.com/products/bubblegum-elixir-pla-filament-1-75mm-1kg</t>
  </si>
  <si>
    <t>#FA9AC5</t>
  </si>
  <si>
    <t>Bubblegum Pink</t>
  </si>
  <si>
    <t>https://cookiecad.com/products/bubblegum-pink-pla-filament-1-75mm-1kg</t>
  </si>
  <si>
    <t>Candy Apple Red</t>
  </si>
  <si>
    <t>https://cookiecad.com/products/candy-apple-red-pla-filament-1-75mm-1kg</t>
  </si>
  <si>
    <t>#E7002C</t>
  </si>
  <si>
    <t>Cookiecad White</t>
  </si>
  <si>
    <t>https://cookiecad.com/products/matte-white-pla-filament-1-75mm-1kg</t>
  </si>
  <si>
    <t>Coral</t>
  </si>
  <si>
    <t>https://cookiecad.com/products/coral-pla-filament-1-75mm-1kg</t>
  </si>
  <si>
    <t>#FF7267</t>
  </si>
  <si>
    <t>https://cookiecad.com/products/cookiecad-dark-magic-pla-filament-1-75mm-1kg</t>
  </si>
  <si>
    <t>https://cookiecad.com/products/fairy-floss-pink-purple-blue-pla-filament-1-75mm-1kg</t>
  </si>
  <si>
    <t>Funfetti Clear with Rainbow Glitter</t>
  </si>
  <si>
    <t>https://cookiecad.com/products/cookiecad-funfetti-clear-with-rainbow-glitter-pla-filament-1-75mm-1kg</t>
  </si>
  <si>
    <t>Gold Dust Clear with Gold Glitter</t>
  </si>
  <si>
    <t>https://cookiecad.com/products/gold-dust-clear-with-gold-glitter-pla-filament-1-75mm-1kg</t>
  </si>
  <si>
    <t>Gold Pearl</t>
  </si>
  <si>
    <t>https://cookiecad.com/products/pearl-gold-pla-filament-1-75mm-1kg</t>
  </si>
  <si>
    <t>Granite Mixer</t>
  </si>
  <si>
    <t>https://cookiecad.com/products/granite-mixer-pla-filament-1-75mm-1kg</t>
  </si>
  <si>
    <t>Gray Ombré</t>
  </si>
  <si>
    <t>https://cookiecad.com/products/gray-ombre-pla-filament-1-75mm-1kg</t>
  </si>
  <si>
    <t>Green Apple</t>
  </si>
  <si>
    <t>https://cookiecad.com/products/green-apple-pla-filament-1-75mm-1kg</t>
  </si>
  <si>
    <t>https://cookiecad.com/products/green-apple-elixir-pla-filament-1-75mm-1kg</t>
  </si>
  <si>
    <t>https://cookiecad.com/products/hot-pink-pla-filament-1-75mm-1kg</t>
  </si>
  <si>
    <t>Lavender Chip Marble</t>
  </si>
  <si>
    <t>https://cookiecad.com/products/blue-chip-marble-pla-filament-1-75mm-1kg</t>
  </si>
  <si>
    <t>Lavender Elixir</t>
  </si>
  <si>
    <t>https://cookiecad.com/products/lavender-elixir-pla-filament-1-75mm-1kg</t>
  </si>
  <si>
    <t>Lavender \ Purple</t>
  </si>
  <si>
    <t>https://cookiecad.com/products/lavender-purple-pla-filament-1-75mm-1kg</t>
  </si>
  <si>
    <t>Magenta Elixir</t>
  </si>
  <si>
    <t>https://cookiecad.com/products/magenta-elixir-pla-filament-1-75mm-1kg</t>
  </si>
  <si>
    <t>#CE006A</t>
  </si>
  <si>
    <t>https://cookiecad.com/products/mermaid-purple-blue-green-pla-filament-1-75mm-1kg</t>
  </si>
  <si>
    <t>Mermaid Elixir</t>
  </si>
  <si>
    <t>https://cookiecad.com/products/mermaid-elixir-puple-blue-green-pla-filament-1-75mm-1kg</t>
  </si>
  <si>
    <t>Mermaid Fast Change</t>
  </si>
  <si>
    <t>https://cookiecad.com/products/copy-of-mermaid-purple-blue-green-pla-filament-1-75mm-1kg</t>
  </si>
  <si>
    <t>Mermaid Mixer</t>
  </si>
  <si>
    <t>https://cookiecad.com/products/mermaid-mixer-pla-filament-1-75mm-1kg</t>
  </si>
  <si>
    <t>Midnight Magic</t>
  </si>
  <si>
    <t>https://cookiecad.com/products/pla-midnight-magic</t>
  </si>
  <si>
    <t>Mint Chip Marble</t>
  </si>
  <si>
    <t>https://cookiecad.com/products/mint-chip-pla-filament-1-75mm-1kg</t>
  </si>
  <si>
    <t>https://cookiecad.com/products/mint-green-pla-filament-1-75mm</t>
  </si>
  <si>
    <t>Mint Green Elixir</t>
  </si>
  <si>
    <t>https://cookiecad.com/products/mint-green-elixir-pla-filament-1-75mm-1kg-1</t>
  </si>
  <si>
    <t>Mint Star Stuff</t>
  </si>
  <si>
    <t>https://cookiecad.com/products/mint-star-stuff-pla-filament-1-75mm-1kg</t>
  </si>
  <si>
    <t>Moonstone</t>
  </si>
  <si>
    <t>https://cookiecad.com/products/moonstone-pla-filament-1-75mm-1kg</t>
  </si>
  <si>
    <t>Nightshade</t>
  </si>
  <si>
    <t>https://cookiecad.com/products/nightshade-pla-filament-1-75mm-1kg</t>
  </si>
  <si>
    <t>#BD27BD</t>
  </si>
  <si>
    <t>Orange Elixir</t>
  </si>
  <si>
    <t>https://cookiecad.com/products/orange-elixir-pla-filament-1-75mm-1kg</t>
  </si>
  <si>
    <t>#FF9220</t>
  </si>
  <si>
    <t>Orange Sorbet</t>
  </si>
  <si>
    <t>https://cookiecad.com/products/orange-sorbet-pla-filament-1-75mm-1kg</t>
  </si>
  <si>
    <t>#FFB593</t>
  </si>
  <si>
    <t>Pale Blue Dot</t>
  </si>
  <si>
    <t>https://cookiecad.com/products/pale-blue-dot-pla-filament-1-75mm-1kg</t>
  </si>
  <si>
    <t>Pale Blue Elixir</t>
  </si>
  <si>
    <t>https://cookiecad.com/products/pale-blue-elixir-pla-filament-1-75mm-1kg</t>
  </si>
  <si>
    <t>Pale Pink</t>
  </si>
  <si>
    <t>https://cookiecad.com/products/pale-pink-pla-filament-1-75mm-1kg</t>
  </si>
  <si>
    <t>Pale Pink Elixir</t>
  </si>
  <si>
    <t>https://cookiecad.com/products/pale-pink-elixir-pla-filament-1-75mm-1kg</t>
  </si>
  <si>
    <t>Pale Yellow</t>
  </si>
  <si>
    <t>https://cookiecad.com/products/pale-yellow-pla-filament-1-75mm-1kg</t>
  </si>
  <si>
    <t>#F3F1A5</t>
  </si>
  <si>
    <t>Pastel Rainbow</t>
  </si>
  <si>
    <t>https://cookiecad.com/products/pastel-rainbow-pla-filament-1-75mm-1kg</t>
  </si>
  <si>
    <t>Pastel Rainbow Elixir</t>
  </si>
  <si>
    <t>https://cookiecad.com/products/pastel-rainbow-elixir-pla-filament-1-75mm-1kg</t>
  </si>
  <si>
    <t>Periwinkle</t>
  </si>
  <si>
    <t>https://cookiecad.com/products/periwinkle-pla-filament-1-75mm-1kg</t>
  </si>
  <si>
    <t>#69669C</t>
  </si>
  <si>
    <t>Pink Chip Marble</t>
  </si>
  <si>
    <t>https://cookiecad.com/products/pink-chip-pla-filament-1-75mm-1kg</t>
  </si>
  <si>
    <t>Pink Ombré</t>
  </si>
  <si>
    <t>https://cookiecad.com/products/pink-ombre-pla-filament-1-75mm-1kg</t>
  </si>
  <si>
    <t>Pink Ombré Elixir</t>
  </si>
  <si>
    <t>https://cookiecad.com/products/pink-ombre-elixir-pla-filament-1-75mm-1kg</t>
  </si>
  <si>
    <t>Pink Pearl</t>
  </si>
  <si>
    <t>https://cookiecad.com/products/pink-pearl-pla-filament-1-75mm-1kg</t>
  </si>
  <si>
    <t>https://cookiecad.com/products/pink-star-stuff-pla-filament-1-75mm-1kg</t>
  </si>
  <si>
    <t>https://cookiecad.com/products/pixie-dust-pla-filament-1-75mm-1kg</t>
  </si>
  <si>
    <t>Pumpkin Spice</t>
  </si>
  <si>
    <t>https://cookiecad.com/products/pumpkin-spice-filament</t>
  </si>
  <si>
    <t>#C88A54</t>
  </si>
  <si>
    <t>Purple Ombré</t>
  </si>
  <si>
    <t>https://cookiecad.com/products/purple-ombre-pla-filament-1-75mm-1kg</t>
  </si>
  <si>
    <t>Purple Ombré Elixir</t>
  </si>
  <si>
    <t>https://cookiecad.com/products/purple-ombre-elixir-pla-filament-1-75mm-1kg</t>
  </si>
  <si>
    <t>https://cookiecad.com/products/purple-star-stuff-pla-filament-1-75mm-1kg</t>
  </si>
  <si>
    <t>Ruby Red Elixir</t>
  </si>
  <si>
    <t>https://cookiecad.com/products/ruby-red-elixir-pla-filament-1-75mm-1kg</t>
  </si>
  <si>
    <t>#D2003C</t>
  </si>
  <si>
    <t>Solar Flare</t>
  </si>
  <si>
    <t>https://cookiecad.com/products/solar-flare-pla-filament-1-75mm-1kg</t>
  </si>
  <si>
    <t>Star Dust Glitter Black</t>
  </si>
  <si>
    <t>https://cookiecad.com/products/cookiecad-star-dust-glitter-translucent-black-pla-filament-1-75mm-1kg</t>
  </si>
  <si>
    <t>Sunrise</t>
  </si>
  <si>
    <t>https://cookiecad.com/products/sunrise-pink-orange-yellow-pla-filament-1-75mm-1kg</t>
  </si>
  <si>
    <t>https://cookiecad.com/products/sunrise-elixir-pink-orange-yellow-pla-filament-1-75mm-1kg</t>
  </si>
  <si>
    <t>Sunrise Mixer</t>
  </si>
  <si>
    <t>https://cookiecad.com/products/sunrise-mixer-pla-filament-1-75mm-1kg</t>
  </si>
  <si>
    <t>Sunset</t>
  </si>
  <si>
    <t>https://cookiecad.com/products/copy-of-sunrise-pink-orange-yellow-pla-filament-1-75mm-1kg</t>
  </si>
  <si>
    <t>https://cookiecad.com/products/sunset-elixir-pla-filament-1-75mm-1kg</t>
  </si>
  <si>
    <t>Sunset Mixer</t>
  </si>
  <si>
    <t>https://cookiecad.com/products/sunset-mixer-pla-filament-1-75mm-1kg</t>
  </si>
  <si>
    <t>Teal Elixir</t>
  </si>
  <si>
    <t>https://cookiecad.com/products/teal-elixir-pla-filament-1-75mm-1kg</t>
  </si>
  <si>
    <t>#00A39A</t>
  </si>
  <si>
    <t>https://cookiecad.com/products/unicorn-🦄-pink-blue-purple-pla-filament-1-75mm-1kg</t>
  </si>
  <si>
    <t>https://cookiecad.com/products/unicorn-elixir-pink-blue-purple-pla-filament-1-75mm-1kg</t>
  </si>
  <si>
    <t>Unicorn Fast Change</t>
  </si>
  <si>
    <t>https://cookiecad.com/products/copy-of-mermaid-fast-change-purple-blue-green-pla-filament-1-75mm-1kg</t>
  </si>
  <si>
    <t>Unicorn Mixer</t>
  </si>
  <si>
    <t>https://cookiecad.com/products/unicorn-mixer-pla-filament-1-75mm-1kg</t>
  </si>
  <si>
    <t>Vanilla Blueberry</t>
  </si>
  <si>
    <t>https://cookiecad.com/products/vanilla-blueberry-pla-filament-1-75mm-1kg</t>
  </si>
  <si>
    <t>Vanilla Chip Marble</t>
  </si>
  <si>
    <t>https://cookiecad.com/products/vanilla-chip-marble-pla-filament-1-75mm-1kg</t>
  </si>
  <si>
    <t>Vanilla Redberry</t>
  </si>
  <si>
    <t>https://cookiecad.com/products/vanilla-redberry-pla-filament-1-75mm-1kg</t>
  </si>
  <si>
    <t>https://cookiecad.com/products/cookiecad-witchcraft-pla-filament-1-75mm-1kg</t>
  </si>
  <si>
    <t>https://cookiecad.com/products/witches-blue-pla-filament-1-75mm-1kg</t>
  </si>
  <si>
    <t>PLA Silk</t>
  </si>
  <si>
    <t>Dual Granite</t>
  </si>
  <si>
    <t>https://cookiecad.com/products/cookiecad-granite-dual-silk-pla-gray-light-gray-filament-1-75mm-1kg</t>
  </si>
  <si>
    <t>Dual Mermaid</t>
  </si>
  <si>
    <t>https://cookiecad.com/products/silk-dual-mermaid-emerald-purple-pla-filament-1-75mm-1kg</t>
  </si>
  <si>
    <t>Dual Sunrise</t>
  </si>
  <si>
    <t>https://cookiecad.com/products/dual-sunrise-silk-pink-orange-yellow-pla-filament-1-75mm-1kg</t>
  </si>
  <si>
    <t>Dual Sunset</t>
  </si>
  <si>
    <t>https://cookiecad.com/products/silk-dual-sunset-pla-filament-1-75mm-1kg</t>
  </si>
  <si>
    <t>Dual Unicorn</t>
  </si>
  <si>
    <t>https://cookiecad.com/products/silk-dual-unicorn-pla-filament-1-75mm-1kg</t>
  </si>
  <si>
    <t>https://cookiecad.com/products/silk-mermaid-pla-filament-1-75mm-1kg</t>
  </si>
  <si>
    <t>https://cookiecad.com/products/silk-pastel-rainbow-pla-filament-1-75mm-1kg</t>
  </si>
  <si>
    <t>https://cookiecad.com/products/silk-pink-ombre-pla-filament-1-75mm-1kg</t>
  </si>
  <si>
    <t>Silver Ombré</t>
  </si>
  <si>
    <t>https://cookiecad.com/products/copy-of-silk-pink-ombre-pla-filament-1-75mm-1kg</t>
  </si>
  <si>
    <t>https://cookiecad.com/products/silk-sunrise-pla-filament-1-75mm-1kg</t>
  </si>
  <si>
    <t>https://cookiecad.com/products/silk-sunset-pla-filament-1-75mm-1kg</t>
  </si>
  <si>
    <t>https://cookiecad.com/products/silk-unicorn-pla-filament-1-75mm-1kg</t>
  </si>
  <si>
    <t>TPU 95A</t>
  </si>
  <si>
    <t>https://cookiecad.com/products/tpu-black-tpu-95a-filament-1-75mm-1kg</t>
  </si>
  <si>
    <t>https://cookiecad.com/products/tpu-black-star-stuff-tpu-95a-filament-1-75mm-1kg</t>
  </si>
  <si>
    <t>Blue Ombre</t>
  </si>
  <si>
    <t>https://cookiecad.com/products/tpu-blue-ombre-tpu-filament-1-75mm-1kg</t>
  </si>
  <si>
    <t>https://cookiecad.com/products/tpu-blue-pearl-tpu-95a-filament-1-75mm-1kg</t>
  </si>
  <si>
    <t>https://cookiecad.com/products/tpu-blue-star-stuff-tpu-95a-filament-1-75mm-1kg</t>
  </si>
  <si>
    <t>https://cookiecad.com/products/tpu-bubblegum-elixir-tpu-95a-filament-1-75mm-1kg</t>
  </si>
  <si>
    <t>https://cookiecad.com/products/tpu-dark-magic-tpu-95a-filament-1-75mm-1kg</t>
  </si>
  <si>
    <t>https://cookiecad.com/products/tpu-fairy-floss-tpu-95a-filament-1-75mm-1kg</t>
  </si>
  <si>
    <t>https://cookiecad.com/products/tpu-funfettitpu-95a-filament-1-75mm-1kg</t>
  </si>
  <si>
    <t>https://cookiecad.com/products/tpu-gold-dust-tpu-95a-filament-1-75mm</t>
  </si>
  <si>
    <t>https://cookiecad.com/products/tpu-green-apple-elixir-tpu-95a-filament-1-75mm-1kg</t>
  </si>
  <si>
    <t>https://cookiecad.com/products/tpu-lavender-elixir-tpu-95a-filament-1-75mm-1kg</t>
  </si>
  <si>
    <t>https://cookiecad.com/products/tpu-mermaid-tpu-95a-filament-1-75mm-1kg</t>
  </si>
  <si>
    <t>https://cookiecad.com/products/tpu-mint-green-elixir-tpu-filament-1-75mm-1kg</t>
  </si>
  <si>
    <t>https://cookiecad.com/products/tpu-mint-star-stuff-tpu-95a-filament-1-75mm-1kg</t>
  </si>
  <si>
    <t>https://cookiecad.com/products/tpu-orange-elixir-tpu-95a-filament-1-75mm-1kg</t>
  </si>
  <si>
    <t>https://cookiecad.com/products/tpu-pale-blue-elixir-tpu-95a-filament-1-75mm-1kg</t>
  </si>
  <si>
    <t>https://cookiecad.com/products/tpu-pale-pink-elixir-tpu-95a-filament-1-75mm-1kg</t>
  </si>
  <si>
    <t>https://cookiecad.com/products/tpu-pastel-rainbow-tpu-95a-filament-1-75mm-1kg</t>
  </si>
  <si>
    <t>Pink Ombre</t>
  </si>
  <si>
    <t>https://cookiecad.com/products/tpu-pink-ombre-tpu-95a-filament-1-75mm-1kg-1</t>
  </si>
  <si>
    <t>https://cookiecad.com/products/tpu-pearl-pink-tpu-95a-filament-1-75mm-1kg</t>
  </si>
  <si>
    <t>https://cookiecad.com/products/tpu-pixie-dust-tpu-95a-filament-1-75mm-1kg</t>
  </si>
  <si>
    <t>https://cookiecad.com/products/tpu-purple-star-stuff-tpu-95a-filament-1-75mm-1kg</t>
  </si>
  <si>
    <t>https://cookiecad.com/products/tpu-ruby-red-elixir-tpu-95a-filament-1-75mm-1kg</t>
  </si>
  <si>
    <t>Solar Flare Elixir</t>
  </si>
  <si>
    <t>https://cookiecad.com/products/tpu-solar-flare-elixir-tpu-filament-1-75mm-1kg</t>
  </si>
  <si>
    <t>Star Dust</t>
  </si>
  <si>
    <t>https://cookiecad.com/products/tpu-star-dust-tpu-95a-filament-1-75mm-1kg</t>
  </si>
  <si>
    <t>https://cookiecad.com/products/tpu-sunrise-tpu-95a-filament-1-75mm-1kg</t>
  </si>
  <si>
    <t>https://cookiecad.com/products/tpu-sunset-tpu-95a-filament-1-75mm-1kg</t>
  </si>
  <si>
    <t>https://cookiecad.com/products/tpu-unicorn-tpu-95a-filament-1-75mm-1kg</t>
  </si>
  <si>
    <t>https://cookiecad.com/products/tpu-witchcraft-tpu-filament-1-75mm-1kg</t>
  </si>
  <si>
    <t>https://cookiecad.com/products/tpu-witches-blue-tpu-95a-filament-1-75mm-1kg</t>
  </si>
  <si>
    <t>Range</t>
  </si>
  <si>
    <t>Bambu Lab | ABS</t>
  </si>
  <si>
    <t>Bambu Lab | ABS-GF</t>
  </si>
  <si>
    <t>Bambu Lab | ASA</t>
  </si>
  <si>
    <t>Bambu Lab | ASA Aero</t>
  </si>
  <si>
    <t>Bambu Lab | ASA-CF</t>
  </si>
  <si>
    <t>Bambu Lab | PA6-CF</t>
  </si>
  <si>
    <t>Bambu Lab | PA6-GF</t>
  </si>
  <si>
    <t>Bambu Lab | PAHT-CF</t>
  </si>
  <si>
    <t>Bambu Lab | PC</t>
  </si>
  <si>
    <t>Bambu Lab | PC FR</t>
  </si>
  <si>
    <t>Bambu Lab | PET-CF</t>
  </si>
  <si>
    <t>Bambu Lab | PETG Basic</t>
  </si>
  <si>
    <t>Bambu Lab | PETG Translucent</t>
  </si>
  <si>
    <t>Bambu Lab | PETG-CF</t>
  </si>
  <si>
    <t>Bambu Lab | PETG-HF</t>
  </si>
  <si>
    <t>Bambu Lab | PLA Aero</t>
  </si>
  <si>
    <t>Bambu Lab | PLA Basic</t>
  </si>
  <si>
    <t>Bambu Lab | PLA Basic Gradient</t>
  </si>
  <si>
    <t>Bambu Lab | PLA Galaxy</t>
  </si>
  <si>
    <t>Bambu Lab | PLA Glow</t>
  </si>
  <si>
    <t>Bambu Lab | PLA Marble</t>
  </si>
  <si>
    <t>Bambu Lab | PLA Matte</t>
  </si>
  <si>
    <t>Bambu Lab | PLA Metal</t>
  </si>
  <si>
    <t>Bambu Lab | PLA Pure</t>
  </si>
  <si>
    <t>Bambu Lab | PLA Silk Multi-Color</t>
  </si>
  <si>
    <t>Bambu Lab | PLA Silk+</t>
  </si>
  <si>
    <t>Bambu Lab | PLA Sparkle</t>
  </si>
  <si>
    <t>Bambu Lab | PLA Tough+</t>
  </si>
  <si>
    <t>Bambu Lab | PLA Translucent</t>
  </si>
  <si>
    <t>Bambu Lab | PLA Wood</t>
  </si>
  <si>
    <t>Bambu Lab | PLA-CF</t>
  </si>
  <si>
    <t>Bambu Lab | PPA-CF</t>
  </si>
  <si>
    <t>Bambu Lab | PPS-CF</t>
  </si>
  <si>
    <t>Bambu Lab | PVA</t>
  </si>
  <si>
    <t>Bambu Lab | Support for ABS</t>
  </si>
  <si>
    <t>Bambu Lab | Support for PA/PET</t>
  </si>
  <si>
    <t>Bambu Lab | Support for PLA (New Version)</t>
  </si>
  <si>
    <t>Bambu Lab | Support for PLA/PETG</t>
  </si>
  <si>
    <t>Bambu Lab | TPU 85A</t>
  </si>
  <si>
    <t>Bambu Lab | TPU 90A</t>
  </si>
  <si>
    <t>Bambu Lab | TPU 95A HF</t>
  </si>
  <si>
    <t>Bambu Lab | TPU for AMS</t>
  </si>
  <si>
    <t>Cookiecad | ABS</t>
  </si>
  <si>
    <t>Cookiecad | ASA</t>
  </si>
  <si>
    <t>Cookiecad | PETG</t>
  </si>
  <si>
    <t>Cookiecad | PLA</t>
  </si>
  <si>
    <t>Cookiecad | PLA Silk</t>
  </si>
  <si>
    <t>Cookiecad | TPU 95A</t>
  </si>
  <si>
    <t>M_1</t>
  </si>
  <si>
    <t>M_2</t>
  </si>
  <si>
    <t>Manufacturer | Type</t>
  </si>
  <si>
    <t>Color range</t>
  </si>
  <si>
    <t>Bambu Lab|ABS</t>
  </si>
  <si>
    <t>C_1</t>
  </si>
  <si>
    <t>Bambu Lab|ABS-GF</t>
  </si>
  <si>
    <t>C_2</t>
  </si>
  <si>
    <t>Bambu Lab|ASA</t>
  </si>
  <si>
    <t>C_3</t>
  </si>
  <si>
    <t>Bambu Lab|ASA Aero</t>
  </si>
  <si>
    <t>C_4</t>
  </si>
  <si>
    <t>Bambu Lab|ASA-CF</t>
  </si>
  <si>
    <t>C_5</t>
  </si>
  <si>
    <t>Bambu Lab|PA6-CF</t>
  </si>
  <si>
    <t>C_6</t>
  </si>
  <si>
    <t>Bambu Lab|PA6-GF</t>
  </si>
  <si>
    <t>C_7</t>
  </si>
  <si>
    <t>Bambu Lab|PAHT-CF</t>
  </si>
  <si>
    <t>C_8</t>
  </si>
  <si>
    <t>Bambu Lab|PC</t>
  </si>
  <si>
    <t>C_9</t>
  </si>
  <si>
    <t>Bambu Lab|PC FR</t>
  </si>
  <si>
    <t>C_10</t>
  </si>
  <si>
    <t>Bambu Lab|PET-CF</t>
  </si>
  <si>
    <t>C_11</t>
  </si>
  <si>
    <t>Bambu Lab|PETG Basic</t>
  </si>
  <si>
    <t>C_12</t>
  </si>
  <si>
    <t>Bambu Lab|PETG Translucent</t>
  </si>
  <si>
    <t>C_13</t>
  </si>
  <si>
    <t>Bambu Lab|PETG-CF</t>
  </si>
  <si>
    <t>C_14</t>
  </si>
  <si>
    <t>Bambu Lab|PETG-HF</t>
  </si>
  <si>
    <t>C_15</t>
  </si>
  <si>
    <t>Bambu Lab|PLA Aero</t>
  </si>
  <si>
    <t>C_16</t>
  </si>
  <si>
    <t>Bambu Lab|PLA Basic</t>
  </si>
  <si>
    <t>C_17</t>
  </si>
  <si>
    <t>Bambu Lab|PLA Basic Gradient</t>
  </si>
  <si>
    <t>C_18</t>
  </si>
  <si>
    <t>Bambu Lab|PLA Galaxy</t>
  </si>
  <si>
    <t>C_19</t>
  </si>
  <si>
    <t>Bambu Lab|PLA Glow</t>
  </si>
  <si>
    <t>C_20</t>
  </si>
  <si>
    <t>Bambu Lab|PLA Marble</t>
  </si>
  <si>
    <t>C_21</t>
  </si>
  <si>
    <t>Bambu Lab|PLA Matte</t>
  </si>
  <si>
    <t>C_22</t>
  </si>
  <si>
    <t>Bambu Lab|PLA Metal</t>
  </si>
  <si>
    <t>C_23</t>
  </si>
  <si>
    <t>Bambu Lab|PLA Pure</t>
  </si>
  <si>
    <t>C_24</t>
  </si>
  <si>
    <t>Bambu Lab|PLA Silk Multi-Color</t>
  </si>
  <si>
    <t>C_25</t>
  </si>
  <si>
    <t>Bambu Lab|PLA Silk+</t>
  </si>
  <si>
    <t>C_26</t>
  </si>
  <si>
    <t>Bambu Lab|PLA Sparkle</t>
  </si>
  <si>
    <t>C_27</t>
  </si>
  <si>
    <t>Bambu Lab|PLA Tough+</t>
  </si>
  <si>
    <t>C_28</t>
  </si>
  <si>
    <t>Bambu Lab|PLA Translucent</t>
  </si>
  <si>
    <t>C_29</t>
  </si>
  <si>
    <t>Bambu Lab|PLA Wood</t>
  </si>
  <si>
    <t>C_30</t>
  </si>
  <si>
    <t>Bambu Lab|PLA-CF</t>
  </si>
  <si>
    <t>C_31</t>
  </si>
  <si>
    <t>Bambu Lab|PPA-CF</t>
  </si>
  <si>
    <t>C_32</t>
  </si>
  <si>
    <t>Bambu Lab|PPS-CF</t>
  </si>
  <si>
    <t>C_33</t>
  </si>
  <si>
    <t>Bambu Lab|PVA</t>
  </si>
  <si>
    <t>C_34</t>
  </si>
  <si>
    <t>Bambu Lab|Support for ABS</t>
  </si>
  <si>
    <t>C_35</t>
  </si>
  <si>
    <t>Bambu Lab|Support for PA/PET</t>
  </si>
  <si>
    <t>C_36</t>
  </si>
  <si>
    <t>Bambu Lab|Support for PLA (New Version)</t>
  </si>
  <si>
    <t>C_37</t>
  </si>
  <si>
    <t>Bambu Lab|Support for PLA/PETG</t>
  </si>
  <si>
    <t>C_38</t>
  </si>
  <si>
    <t>Bambu Lab|TPU 85A</t>
  </si>
  <si>
    <t>C_39</t>
  </si>
  <si>
    <t>Bambu Lab|TPU 90A</t>
  </si>
  <si>
    <t>C_40</t>
  </si>
  <si>
    <t>Bambu Lab|TPU 95A HF</t>
  </si>
  <si>
    <t>C_41</t>
  </si>
  <si>
    <t>Bambu Lab|TPU for AMS</t>
  </si>
  <si>
    <t>C_42</t>
  </si>
  <si>
    <t>Cookiecad|ABS</t>
  </si>
  <si>
    <t>C_43</t>
  </si>
  <si>
    <t>Cookiecad|ASA</t>
  </si>
  <si>
    <t>C_44</t>
  </si>
  <si>
    <t>Cookiecad|PETG</t>
  </si>
  <si>
    <t>C_45</t>
  </si>
  <si>
    <t>Cookiecad|PLA</t>
  </si>
  <si>
    <t>C_46</t>
  </si>
  <si>
    <t>Cookiecad|PLA Silk</t>
  </si>
  <si>
    <t>C_47</t>
  </si>
  <si>
    <t>Cookiecad|TPU 95A</t>
  </si>
  <si>
    <t>C_48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</si>
</sst>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name val="Carlito"/>
    </font>
    <font>
      <sz val="11"/>
      <color rgb="FF17211B"/>
      <name val="Arial"/>
      <family val="2"/>
    </font>
    <font>
      <b/>
      <sz val="20"/>
      <color rgb="FF17211B"/>
      <name val="Arial"/>
      <family val="2"/>
    </font>
    <font>
      <b/>
      <sz val="11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7211B"/>
      </patternFill>
    </fill>
    <fill>
      <patternFill patternType="solid">
        <fgColor rgb="FFFFF8E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1" fillId="3" borderId="0" xfId="0" applyFont="1" applyFill="1"/>
    <xf numFmtId="0" fontId="3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color rgb="FF9B2A19"/>
      </font>
      <fill>
        <patternFill patternType="solid">
          <bgColor rgb="FFFCE2D9"/>
        </patternFill>
      </fill>
    </dxf>
    <dxf>
      <font>
        <color rgb="FF008B3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2413000</xdr:colOff>
      <xdr:row>4</xdr:row>
      <xdr:rowOff>127000</xdr:rowOff>
    </xdr:to>
    <xdr:sp macro="ExportLabelsCSV21" textlink="">
      <xdr:nvSpPr>
        <xdr:cNvPr id="2" name="ExportLabelsButton">
          <a:extLst>
            <a:ext uri="{FF2B5EF4-FFF2-40B4-BE49-F238E27FC236}">
              <a16:creationId xmlns:a16="http://schemas.microsoft.com/office/drawing/2014/main" id="{01044885-AE0E-4CAA-E3C8-D0F13E7B9D7C}"/>
            </a:ext>
          </a:extLst>
        </xdr:cNvPr>
        <xdr:cNvSpPr/>
      </xdr:nvSpPr>
      <xdr:spPr>
        <a:xfrm>
          <a:off x="8305800" y="495300"/>
          <a:ext cx="2413000" cy="482600"/>
        </a:xfrm>
        <a:prstGeom prst="roundRect">
          <a:avLst/>
        </a:prstGeom>
        <a:solidFill>
          <a:srgbClr val="008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Export labels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0"/>
  <sheetViews>
    <sheetView showGridLines="0" tabSelected="1" workbookViewId="0">
      <pane ySplit="8" topLeftCell="A9" activePane="bottomLeft" state="frozen"/>
      <selection pane="bottomLeft" activeCell="D26" sqref="D26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12" customWidth="1"/>
    <col min="5" max="5" width="35" customWidth="1"/>
    <col min="6" max="6" width="4" customWidth="1"/>
  </cols>
  <sheetData>
    <row r="1" spans="1:8" ht="25">
      <c r="A1" s="2" t="s">
        <v>0</v>
      </c>
      <c r="B1" s="1"/>
      <c r="C1" s="1"/>
      <c r="D1" s="1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" t="s">
        <v>1</v>
      </c>
      <c r="B3" s="1"/>
      <c r="C3" s="1"/>
      <c r="D3" s="1"/>
      <c r="E3" s="1"/>
      <c r="F3" s="1"/>
      <c r="G3" s="1"/>
      <c r="H3" s="1"/>
    </row>
    <row r="4" spans="1:8">
      <c r="A4" s="1" t="s">
        <v>2</v>
      </c>
      <c r="B4" s="1"/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 t="s">
        <v>3</v>
      </c>
      <c r="B6" s="1">
        <f>SUM(D9:D108)</f>
        <v>22</v>
      </c>
      <c r="C6" s="1" t="s">
        <v>4</v>
      </c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 ht="28" customHeight="1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1"/>
      <c r="G8" s="1"/>
      <c r="H8" s="1"/>
    </row>
    <row r="9" spans="1:8" ht="24" customHeight="1">
      <c r="A9" s="4" t="s">
        <v>10</v>
      </c>
      <c r="B9" s="4" t="s">
        <v>428</v>
      </c>
      <c r="C9" s="4" t="s">
        <v>47</v>
      </c>
      <c r="D9" s="4">
        <v>2</v>
      </c>
      <c r="E9" s="1" t="str">
        <f>IF(COUNTA(A9:D9)=0,"",IF(COUNTA(A9:D9)&lt;4,"Complete all four fields",IF(COUNTIFS(Catalog!$A$2:$A$405,A9,Catalog!$B$2:$B$405,B9,Catalog!$C$2:$C$405,C9)&lt;&gt;1,"Choose a valid combination",IF(NOT(ISNUMBER(D9)),"Enter a numeric quantity",IF(OR(D9&lt;1,D9&gt;100,D9&lt;&gt;INT(D9)),"Use a whole quantity 1-100",IF($B$6&gt;100,"Batch exceeds 100 clips","Ready"))))))</f>
        <v>Ready</v>
      </c>
      <c r="F9" s="1"/>
      <c r="G9" s="1"/>
      <c r="H9" s="1"/>
    </row>
    <row r="10" spans="1:8" ht="24" customHeight="1">
      <c r="A10" s="4" t="s">
        <v>10</v>
      </c>
      <c r="B10" s="4" t="s">
        <v>108</v>
      </c>
      <c r="C10" s="4" t="s">
        <v>123</v>
      </c>
      <c r="D10" s="4">
        <v>1</v>
      </c>
      <c r="E10" s="1" t="str">
        <f>IF(COUNTA(A10:D10)=0,"",IF(COUNTA(A10:D10)&lt;4,"Complete all four fields",IF(COUNTIFS(Catalog!$A$2:$A$405,A10,Catalog!$B$2:$B$405,B10,Catalog!$C$2:$C$405,C10)&lt;&gt;1,"Choose a valid combination",IF(NOT(ISNUMBER(D10)),"Enter a numeric quantity",IF(OR(D10&lt;1,D10&gt;100,D10&lt;&gt;INT(D10)),"Use a whole quantity 1-100",IF($B$6&gt;100,"Batch exceeds 100 clips","Ready"))))))</f>
        <v>Ready</v>
      </c>
      <c r="F10" s="1"/>
      <c r="G10" s="1"/>
      <c r="H10" s="1"/>
    </row>
    <row r="11" spans="1:8" ht="24" customHeight="1">
      <c r="A11" s="4" t="s">
        <v>10</v>
      </c>
      <c r="B11" s="4" t="s">
        <v>16</v>
      </c>
      <c r="C11" s="4" t="s">
        <v>261</v>
      </c>
      <c r="D11" s="4">
        <v>6</v>
      </c>
      <c r="E11" s="1" t="str">
        <f>IF(COUNTA(A11:D11)=0,"",IF(COUNTA(A11:D11)&lt;4,"Complete all four fields",IF(COUNTIFS(Catalog!$A$2:$A$405,A11,Catalog!$B$2:$B$405,B11,Catalog!$C$2:$C$405,C11)&lt;&gt;1,"Choose a valid combination",IF(NOT(ISNUMBER(D11)),"Enter a numeric quantity",IF(OR(D11&lt;1,D11&gt;100,D11&lt;&gt;INT(D11)),"Use a whole quantity 1-100",IF($B$6&gt;100,"Batch exceeds 100 clips","Ready"))))))</f>
        <v>Ready</v>
      </c>
      <c r="F11" s="1"/>
      <c r="G11" s="1"/>
      <c r="H11" s="1"/>
    </row>
    <row r="12" spans="1:8" ht="24" customHeight="1">
      <c r="A12" s="4" t="s">
        <v>10</v>
      </c>
      <c r="B12" s="4" t="s">
        <v>334</v>
      </c>
      <c r="C12" s="4" t="s">
        <v>349</v>
      </c>
      <c r="D12" s="4">
        <v>1</v>
      </c>
      <c r="E12" s="1" t="str">
        <f>IF(COUNTA(A12:D12)=0,"",IF(COUNTA(A12:D12)&lt;4,"Complete all four fields",IF(COUNTIFS(Catalog!$A$2:$A$405,A12,Catalog!$B$2:$B$405,B12,Catalog!$C$2:$C$405,C12)&lt;&gt;1,"Choose a valid combination",IF(NOT(ISNUMBER(D12)),"Enter a numeric quantity",IF(OR(D12&lt;1,D12&gt;100,D12&lt;&gt;INT(D12)),"Use a whole quantity 1-100",IF($B$6&gt;100,"Batch exceeds 100 clips","Ready"))))))</f>
        <v>Ready</v>
      </c>
      <c r="F12" s="1"/>
      <c r="G12" s="1"/>
      <c r="H12" s="1"/>
    </row>
    <row r="13" spans="1:8" ht="24" customHeight="1">
      <c r="A13" s="4" t="s">
        <v>10</v>
      </c>
      <c r="B13" s="4" t="s">
        <v>227</v>
      </c>
      <c r="C13" s="4" t="s">
        <v>237</v>
      </c>
      <c r="D13" s="4">
        <v>1</v>
      </c>
      <c r="E13" s="1" t="str">
        <f>IF(COUNTA(A13:D13)=0,"",IF(COUNTA(A13:D13)&lt;4,"Complete all four fields",IF(COUNTIFS(Catalog!$A$2:$A$405,A13,Catalog!$B$2:$B$405,B13,Catalog!$C$2:$C$405,C13)&lt;&gt;1,"Choose a valid combination",IF(NOT(ISNUMBER(D13)),"Enter a numeric quantity",IF(OR(D13&lt;1,D13&gt;100,D13&lt;&gt;INT(D13)),"Use a whole quantity 1-100",IF($B$6&gt;100,"Batch exceeds 100 clips","Ready"))))))</f>
        <v>Ready</v>
      </c>
      <c r="F13" s="1"/>
      <c r="G13" s="1"/>
      <c r="H13" s="1"/>
    </row>
    <row r="14" spans="1:8" ht="24" customHeight="1">
      <c r="A14" s="4" t="s">
        <v>10</v>
      </c>
      <c r="B14" s="4" t="s">
        <v>423</v>
      </c>
      <c r="C14" s="4" t="s">
        <v>47</v>
      </c>
      <c r="D14" s="4">
        <v>3</v>
      </c>
      <c r="E14" s="1" t="str">
        <f>IF(COUNTA(A14:D14)=0,"",IF(COUNTA(A14:D14)&lt;4,"Complete all four fields",IF(COUNTIFS(Catalog!$A$2:$A$405,A14,Catalog!$B$2:$B$405,B14,Catalog!$C$2:$C$405,C14)&lt;&gt;1,"Choose a valid combination",IF(NOT(ISNUMBER(D14)),"Enter a numeric quantity",IF(OR(D14&lt;1,D14&gt;100,D14&lt;&gt;INT(D14)),"Use a whole quantity 1-100",IF($B$6&gt;100,"Batch exceeds 100 clips","Ready"))))))</f>
        <v>Ready</v>
      </c>
      <c r="F14" s="1"/>
      <c r="G14" s="1"/>
      <c r="H14" s="1"/>
    </row>
    <row r="15" spans="1:8" ht="24" customHeight="1">
      <c r="A15" s="4" t="s">
        <v>10</v>
      </c>
      <c r="B15" s="4" t="s">
        <v>108</v>
      </c>
      <c r="C15" s="4" t="s">
        <v>112</v>
      </c>
      <c r="D15" s="4">
        <v>1</v>
      </c>
      <c r="E15" s="1" t="str">
        <f>IF(COUNTA(A15:D15)=0,"",IF(COUNTA(A15:D15)&lt;4,"Complete all four fields",IF(COUNTIFS(Catalog!$A$2:$A$405,A15,Catalog!$B$2:$B$405,B15,Catalog!$C$2:$C$405,C15)&lt;&gt;1,"Choose a valid combination",IF(NOT(ISNUMBER(D15)),"Enter a numeric quantity",IF(OR(D15&lt;1,D15&gt;100,D15&lt;&gt;INT(D15)),"Use a whole quantity 1-100",IF($B$6&gt;100,"Batch exceeds 100 clips","Ready"))))))</f>
        <v>Ready</v>
      </c>
      <c r="F15" s="1"/>
      <c r="G15" s="1"/>
      <c r="H15" s="1"/>
    </row>
    <row r="16" spans="1:8" ht="24" customHeight="1">
      <c r="A16" s="4" t="s">
        <v>10</v>
      </c>
      <c r="B16" s="4" t="s">
        <v>373</v>
      </c>
      <c r="C16" s="4" t="s">
        <v>41</v>
      </c>
      <c r="D16" s="4">
        <v>1</v>
      </c>
      <c r="E16" s="1" t="str">
        <f>IF(COUNTA(A16:D16)=0,"",IF(COUNTA(A16:D16)&lt;4,"Complete all four fields",IF(COUNTIFS(Catalog!$A$2:$A$405,A16,Catalog!$B$2:$B$405,B16,Catalog!$C$2:$C$405,C16)&lt;&gt;1,"Choose a valid combination",IF(NOT(ISNUMBER(D16)),"Enter a numeric quantity",IF(OR(D16&lt;1,D16&gt;100,D16&lt;&gt;INT(D16)),"Use a whole quantity 1-100",IF($B$6&gt;100,"Batch exceeds 100 clips","Ready"))))))</f>
        <v>Ready</v>
      </c>
      <c r="F16" s="1"/>
      <c r="G16" s="1"/>
      <c r="H16" s="1"/>
    </row>
    <row r="17" spans="1:8" ht="24" customHeight="1">
      <c r="A17" s="4" t="s">
        <v>10</v>
      </c>
      <c r="B17" s="4" t="s">
        <v>27</v>
      </c>
      <c r="C17" s="4" t="s">
        <v>39</v>
      </c>
      <c r="D17" s="4">
        <v>1</v>
      </c>
      <c r="E17" s="1" t="str">
        <f>IF(COUNTA(A17:D17)=0,"",IF(COUNTA(A17:D17)&lt;4,"Complete all four fields",IF(COUNTIFS(Catalog!$A$2:$A$405,A17,Catalog!$B$2:$B$405,B17,Catalog!$C$2:$C$405,C17)&lt;&gt;1,"Choose a valid combination",IF(NOT(ISNUMBER(D17)),"Enter a numeric quantity",IF(OR(D17&lt;1,D17&gt;100,D17&lt;&gt;INT(D17)),"Use a whole quantity 1-100",IF($B$6&gt;100,"Batch exceeds 100 clips","Ready"))))))</f>
        <v>Ready</v>
      </c>
      <c r="F17" s="1"/>
      <c r="G17" s="1"/>
      <c r="H17" s="1"/>
    </row>
    <row r="18" spans="1:8" ht="24" customHeight="1">
      <c r="A18" s="4" t="s">
        <v>10</v>
      </c>
      <c r="B18" s="4" t="s">
        <v>27</v>
      </c>
      <c r="C18" s="4" t="s">
        <v>31</v>
      </c>
      <c r="D18" s="4">
        <v>1</v>
      </c>
      <c r="E18" s="1" t="str">
        <f>IF(COUNTA(A18:D18)=0,"",IF(COUNTA(A18:D18)&lt;4,"Complete all four fields",IF(COUNTIFS(Catalog!$A$2:$A$405,A18,Catalog!$B$2:$B$405,B18,Catalog!$C$2:$C$405,C18)&lt;&gt;1,"Choose a valid combination",IF(NOT(ISNUMBER(D18)),"Enter a numeric quantity",IF(OR(D18&lt;1,D18&gt;100,D18&lt;&gt;INT(D18)),"Use a whole quantity 1-100",IF($B$6&gt;100,"Batch exceeds 100 clips","Ready"))))))</f>
        <v>Ready</v>
      </c>
      <c r="F18" s="1"/>
      <c r="G18" s="1"/>
      <c r="H18" s="1"/>
    </row>
    <row r="19" spans="1:8" ht="24" customHeight="1">
      <c r="A19" s="4" t="s">
        <v>10</v>
      </c>
      <c r="B19" s="4" t="s">
        <v>27</v>
      </c>
      <c r="C19" s="4" t="s">
        <v>24</v>
      </c>
      <c r="D19" s="4">
        <v>1</v>
      </c>
      <c r="E19" s="1" t="str">
        <f>IF(COUNTA(A19:D19)=0,"",IF(COUNTA(A19:D19)&lt;4,"Complete all four fields",IF(COUNTIFS(Catalog!$A$2:$A$405,A19,Catalog!$B$2:$B$405,B19,Catalog!$C$2:$C$405,C19)&lt;&gt;1,"Choose a valid combination",IF(NOT(ISNUMBER(D19)),"Enter a numeric quantity",IF(OR(D19&lt;1,D19&gt;100,D19&lt;&gt;INT(D19)),"Use a whole quantity 1-100",IF($B$6&gt;100,"Batch exceeds 100 clips","Ready"))))))</f>
        <v>Ready</v>
      </c>
      <c r="F19" s="1"/>
      <c r="G19" s="1"/>
      <c r="H19" s="1"/>
    </row>
    <row r="20" spans="1:8" ht="24" customHeight="1">
      <c r="A20" s="4" t="s">
        <v>10</v>
      </c>
      <c r="B20" s="4" t="s">
        <v>23</v>
      </c>
      <c r="C20" s="4" t="s">
        <v>39</v>
      </c>
      <c r="D20" s="4">
        <v>1</v>
      </c>
      <c r="E20" s="1" t="str">
        <f>IF(COUNTA(A20:D20)=0,"",IF(COUNTA(A20:D20)&lt;4,"Complete all four fields",IF(COUNTIFS(Catalog!$A$2:$A$405,A20,Catalog!$B$2:$B$405,B20,Catalog!$C$2:$C$405,C20)&lt;&gt;1,"Choose a valid combination",IF(NOT(ISNUMBER(D20)),"Enter a numeric quantity",IF(OR(D20&lt;1,D20&gt;100,D20&lt;&gt;INT(D20)),"Use a whole quantity 1-100",IF($B$6&gt;100,"Batch exceeds 100 clips","Ready"))))))</f>
        <v>Ready</v>
      </c>
      <c r="F20" s="1"/>
      <c r="G20" s="1"/>
      <c r="H20" s="1"/>
    </row>
    <row r="21" spans="1:8" ht="24" customHeight="1">
      <c r="A21" s="4" t="s">
        <v>10</v>
      </c>
      <c r="B21" s="4" t="s">
        <v>366</v>
      </c>
      <c r="C21" s="4" t="s">
        <v>47</v>
      </c>
      <c r="D21" s="4">
        <v>1</v>
      </c>
      <c r="E21" s="1" t="str">
        <f>IF(COUNTA(A21:D21)=0,"",IF(COUNTA(A21:D21)&lt;4,"Complete all four fields",IF(COUNTIFS(Catalog!$A$2:$A$405,A21,Catalog!$B$2:$B$405,B21,Catalog!$C$2:$C$405,C21)&lt;&gt;1,"Choose a valid combination",IF(NOT(ISNUMBER(D21)),"Enter a numeric quantity",IF(OR(D21&lt;1,D21&gt;100,D21&lt;&gt;INT(D21)),"Use a whole quantity 1-100",IF($B$6&gt;100,"Batch exceeds 100 clips","Ready"))))))</f>
        <v>Ready</v>
      </c>
      <c r="F21" s="1"/>
      <c r="G21" s="1"/>
      <c r="H21" s="1"/>
    </row>
    <row r="22" spans="1:8" ht="24" customHeight="1">
      <c r="A22" s="4" t="s">
        <v>10</v>
      </c>
      <c r="B22" s="4" t="s">
        <v>366</v>
      </c>
      <c r="C22" s="4" t="s">
        <v>12</v>
      </c>
      <c r="D22" s="4">
        <v>1</v>
      </c>
      <c r="E22" s="1" t="str">
        <f>IF(COUNTA(A22:D22)=0,"",IF(COUNTA(A22:D22)&lt;4,"Complete all four fields",IF(COUNTIFS(Catalog!$A$2:$A$405,A22,Catalog!$B$2:$B$405,B22,Catalog!$C$2:$C$405,C22)&lt;&gt;1,"Choose a valid combination",IF(NOT(ISNUMBER(D22)),"Enter a numeric quantity",IF(OR(D22&lt;1,D22&gt;100,D22&lt;&gt;INT(D22)),"Use a whole quantity 1-100",IF($B$6&gt;100,"Batch exceeds 100 clips","Ready"))))))</f>
        <v>Ready</v>
      </c>
      <c r="F22" s="1"/>
      <c r="G22" s="1"/>
      <c r="H22" s="1"/>
    </row>
    <row r="23" spans="1:8" ht="24" customHeight="1">
      <c r="A23" s="4"/>
      <c r="B23" s="4"/>
      <c r="C23" s="4"/>
      <c r="D23" s="4"/>
      <c r="E23" s="1" t="str">
        <f>IF(COUNTA(A23:D23)=0,"",IF(COUNTA(A23:D23)&lt;4,"Complete all four fields",IF(COUNTIFS(Catalog!$A$2:$A$405,A23,Catalog!$B$2:$B$405,B23,Catalog!$C$2:$C$405,C23)&lt;&gt;1,"Choose a valid combination",IF(NOT(ISNUMBER(D23)),"Enter a numeric quantity",IF(OR(D23&lt;1,D23&gt;100,D23&lt;&gt;INT(D23)),"Use a whole quantity 1-100",IF($B$6&gt;100,"Batch exceeds 100 clips","Ready"))))))</f>
        <v/>
      </c>
      <c r="F23" s="1"/>
      <c r="G23" s="1"/>
      <c r="H23" s="1"/>
    </row>
    <row r="24" spans="1:8" ht="24" customHeight="1">
      <c r="A24" s="4"/>
      <c r="B24" s="4"/>
      <c r="C24" s="4"/>
      <c r="D24" s="4"/>
      <c r="E24" s="1" t="str">
        <f>IF(COUNTA(A24:D24)=0,"",IF(COUNTA(A24:D24)&lt;4,"Complete all four fields",IF(COUNTIFS(Catalog!$A$2:$A$405,A24,Catalog!$B$2:$B$405,B24,Catalog!$C$2:$C$405,C24)&lt;&gt;1,"Choose a valid combination",IF(NOT(ISNUMBER(D24)),"Enter a numeric quantity",IF(OR(D24&lt;1,D24&gt;100,D24&lt;&gt;INT(D24)),"Use a whole quantity 1-100",IF($B$6&gt;100,"Batch exceeds 100 clips","Ready"))))))</f>
        <v/>
      </c>
      <c r="F24" s="1"/>
      <c r="G24" s="1"/>
      <c r="H24" s="1"/>
    </row>
    <row r="25" spans="1:8" ht="24" customHeight="1">
      <c r="A25" s="4"/>
      <c r="B25" s="4"/>
      <c r="C25" s="4"/>
      <c r="D25" s="4"/>
      <c r="E25" s="1" t="str">
        <f>IF(COUNTA(A25:D25)=0,"",IF(COUNTA(A25:D25)&lt;4,"Complete all four fields",IF(COUNTIFS(Catalog!$A$2:$A$405,A25,Catalog!$B$2:$B$405,B25,Catalog!$C$2:$C$405,C25)&lt;&gt;1,"Choose a valid combination",IF(NOT(ISNUMBER(D25)),"Enter a numeric quantity",IF(OR(D25&lt;1,D25&gt;100,D25&lt;&gt;INT(D25)),"Use a whole quantity 1-100",IF($B$6&gt;100,"Batch exceeds 100 clips","Ready"))))))</f>
        <v/>
      </c>
      <c r="F25" s="1"/>
      <c r="G25" s="1"/>
      <c r="H25" s="1"/>
    </row>
    <row r="26" spans="1:8" ht="24" customHeight="1">
      <c r="A26" s="4"/>
      <c r="B26" s="4"/>
      <c r="C26" s="4"/>
      <c r="D26" s="4"/>
      <c r="E26" s="1" t="str">
        <f>IF(COUNTA(A26:D26)=0,"",IF(COUNTA(A26:D26)&lt;4,"Complete all four fields",IF(COUNTIFS(Catalog!$A$2:$A$405,A26,Catalog!$B$2:$B$405,B26,Catalog!$C$2:$C$405,C26)&lt;&gt;1,"Choose a valid combination",IF(NOT(ISNUMBER(D26)),"Enter a numeric quantity",IF(OR(D26&lt;1,D26&gt;100,D26&lt;&gt;INT(D26)),"Use a whole quantity 1-100",IF($B$6&gt;100,"Batch exceeds 100 clips","Ready"))))))</f>
        <v/>
      </c>
      <c r="F26" s="1"/>
      <c r="G26" s="1"/>
      <c r="H26" s="1"/>
    </row>
    <row r="27" spans="1:8" ht="24" customHeight="1">
      <c r="A27" s="4"/>
      <c r="B27" s="4"/>
      <c r="C27" s="4"/>
      <c r="D27" s="4"/>
      <c r="E27" s="1" t="str">
        <f>IF(COUNTA(A27:D27)=0,"",IF(COUNTA(A27:D27)&lt;4,"Complete all four fields",IF(COUNTIFS(Catalog!$A$2:$A$405,A27,Catalog!$B$2:$B$405,B27,Catalog!$C$2:$C$405,C27)&lt;&gt;1,"Choose a valid combination",IF(NOT(ISNUMBER(D27)),"Enter a numeric quantity",IF(OR(D27&lt;1,D27&gt;100,D27&lt;&gt;INT(D27)),"Use a whole quantity 1-100",IF($B$6&gt;100,"Batch exceeds 100 clips","Ready"))))))</f>
        <v/>
      </c>
      <c r="F27" s="1"/>
      <c r="G27" s="1"/>
      <c r="H27" s="1"/>
    </row>
    <row r="28" spans="1:8" ht="24" customHeight="1">
      <c r="A28" s="4"/>
      <c r="B28" s="4"/>
      <c r="C28" s="4"/>
      <c r="D28" s="4"/>
      <c r="E28" s="1" t="str">
        <f>IF(COUNTA(A28:D28)=0,"",IF(COUNTA(A28:D28)&lt;4,"Complete all four fields",IF(COUNTIFS(Catalog!$A$2:$A$405,A28,Catalog!$B$2:$B$405,B28,Catalog!$C$2:$C$405,C28)&lt;&gt;1,"Choose a valid combination",IF(NOT(ISNUMBER(D28)),"Enter a numeric quantity",IF(OR(D28&lt;1,D28&gt;100,D28&lt;&gt;INT(D28)),"Use a whole quantity 1-100",IF($B$6&gt;100,"Batch exceeds 100 clips","Ready"))))))</f>
        <v/>
      </c>
      <c r="F28" s="1"/>
      <c r="G28" s="1"/>
      <c r="H28" s="1"/>
    </row>
    <row r="29" spans="1:8" ht="24" customHeight="1">
      <c r="A29" s="4"/>
      <c r="B29" s="4"/>
      <c r="C29" s="4"/>
      <c r="D29" s="4"/>
      <c r="E29" s="1" t="str">
        <f>IF(COUNTA(A29:D29)=0,"",IF(COUNTA(A29:D29)&lt;4,"Complete all four fields",IF(COUNTIFS(Catalog!$A$2:$A$405,A29,Catalog!$B$2:$B$405,B29,Catalog!$C$2:$C$405,C29)&lt;&gt;1,"Choose a valid combination",IF(NOT(ISNUMBER(D29)),"Enter a numeric quantity",IF(OR(D29&lt;1,D29&gt;100,D29&lt;&gt;INT(D29)),"Use a whole quantity 1-100",IF($B$6&gt;100,"Batch exceeds 100 clips","Ready"))))))</f>
        <v/>
      </c>
      <c r="F29" s="1"/>
      <c r="G29" s="1"/>
      <c r="H29" s="1"/>
    </row>
    <row r="30" spans="1:8" ht="24" customHeight="1">
      <c r="A30" s="4"/>
      <c r="B30" s="4"/>
      <c r="C30" s="4"/>
      <c r="D30" s="4"/>
      <c r="E30" s="1" t="str">
        <f>IF(COUNTA(A30:D30)=0,"",IF(COUNTA(A30:D30)&lt;4,"Complete all four fields",IF(COUNTIFS(Catalog!$A$2:$A$405,A30,Catalog!$B$2:$B$405,B30,Catalog!$C$2:$C$405,C30)&lt;&gt;1,"Choose a valid combination",IF(NOT(ISNUMBER(D30)),"Enter a numeric quantity",IF(OR(D30&lt;1,D30&gt;100,D30&lt;&gt;INT(D30)),"Use a whole quantity 1-100",IF($B$6&gt;100,"Batch exceeds 100 clips","Ready"))))))</f>
        <v/>
      </c>
      <c r="F30" s="1"/>
      <c r="G30" s="1"/>
      <c r="H30" s="1"/>
    </row>
    <row r="31" spans="1:8" ht="24" customHeight="1">
      <c r="A31" s="4"/>
      <c r="B31" s="4"/>
      <c r="C31" s="4"/>
      <c r="D31" s="4"/>
      <c r="E31" s="1" t="str">
        <f>IF(COUNTA(A31:D31)=0,"",IF(COUNTA(A31:D31)&lt;4,"Complete all four fields",IF(COUNTIFS(Catalog!$A$2:$A$405,A31,Catalog!$B$2:$B$405,B31,Catalog!$C$2:$C$405,C31)&lt;&gt;1,"Choose a valid combination",IF(NOT(ISNUMBER(D31)),"Enter a numeric quantity",IF(OR(D31&lt;1,D31&gt;100,D31&lt;&gt;INT(D31)),"Use a whole quantity 1-100",IF($B$6&gt;100,"Batch exceeds 100 clips","Ready"))))))</f>
        <v/>
      </c>
      <c r="F31" s="1"/>
      <c r="G31" s="1"/>
      <c r="H31" s="1"/>
    </row>
    <row r="32" spans="1:8" ht="24" customHeight="1">
      <c r="A32" s="4"/>
      <c r="B32" s="4"/>
      <c r="C32" s="4"/>
      <c r="D32" s="4"/>
      <c r="E32" s="1" t="str">
        <f>IF(COUNTA(A32:D32)=0,"",IF(COUNTA(A32:D32)&lt;4,"Complete all four fields",IF(COUNTIFS(Catalog!$A$2:$A$405,A32,Catalog!$B$2:$B$405,B32,Catalog!$C$2:$C$405,C32)&lt;&gt;1,"Choose a valid combination",IF(NOT(ISNUMBER(D32)),"Enter a numeric quantity",IF(OR(D32&lt;1,D32&gt;100,D32&lt;&gt;INT(D32)),"Use a whole quantity 1-100",IF($B$6&gt;100,"Batch exceeds 100 clips","Ready"))))))</f>
        <v/>
      </c>
      <c r="F32" s="1"/>
      <c r="G32" s="1"/>
      <c r="H32" s="1"/>
    </row>
    <row r="33" spans="1:8" ht="24" customHeight="1">
      <c r="A33" s="4"/>
      <c r="B33" s="4"/>
      <c r="C33" s="4"/>
      <c r="D33" s="4"/>
      <c r="E33" s="1" t="str">
        <f>IF(COUNTA(A33:D33)=0,"",IF(COUNTA(A33:D33)&lt;4,"Complete all four fields",IF(COUNTIFS(Catalog!$A$2:$A$405,A33,Catalog!$B$2:$B$405,B33,Catalog!$C$2:$C$405,C33)&lt;&gt;1,"Choose a valid combination",IF(NOT(ISNUMBER(D33)),"Enter a numeric quantity",IF(OR(D33&lt;1,D33&gt;100,D33&lt;&gt;INT(D33)),"Use a whole quantity 1-100",IF($B$6&gt;100,"Batch exceeds 100 clips","Ready"))))))</f>
        <v/>
      </c>
      <c r="F33" s="1"/>
      <c r="G33" s="1"/>
      <c r="H33" s="1"/>
    </row>
    <row r="34" spans="1:8" ht="24" customHeight="1">
      <c r="A34" s="4"/>
      <c r="B34" s="4"/>
      <c r="C34" s="4"/>
      <c r="D34" s="4"/>
      <c r="E34" s="1" t="str">
        <f>IF(COUNTA(A34:D34)=0,"",IF(COUNTA(A34:D34)&lt;4,"Complete all four fields",IF(COUNTIFS(Catalog!$A$2:$A$405,A34,Catalog!$B$2:$B$405,B34,Catalog!$C$2:$C$405,C34)&lt;&gt;1,"Choose a valid combination",IF(NOT(ISNUMBER(D34)),"Enter a numeric quantity",IF(OR(D34&lt;1,D34&gt;100,D34&lt;&gt;INT(D34)),"Use a whole quantity 1-100",IF($B$6&gt;100,"Batch exceeds 100 clips","Ready"))))))</f>
        <v/>
      </c>
      <c r="F34" s="1"/>
      <c r="G34" s="1"/>
      <c r="H34" s="1"/>
    </row>
    <row r="35" spans="1:8" ht="24" customHeight="1">
      <c r="A35" s="4"/>
      <c r="B35" s="4"/>
      <c r="C35" s="4"/>
      <c r="D35" s="4"/>
      <c r="E35" s="1" t="str">
        <f>IF(COUNTA(A35:D35)=0,"",IF(COUNTA(A35:D35)&lt;4,"Complete all four fields",IF(COUNTIFS(Catalog!$A$2:$A$405,A35,Catalog!$B$2:$B$405,B35,Catalog!$C$2:$C$405,C35)&lt;&gt;1,"Choose a valid combination",IF(NOT(ISNUMBER(D35)),"Enter a numeric quantity",IF(OR(D35&lt;1,D35&gt;100,D35&lt;&gt;INT(D35)),"Use a whole quantity 1-100",IF($B$6&gt;100,"Batch exceeds 100 clips","Ready"))))))</f>
        <v/>
      </c>
      <c r="F35" s="1"/>
      <c r="G35" s="1"/>
      <c r="H35" s="1"/>
    </row>
    <row r="36" spans="1:8" ht="24" customHeight="1">
      <c r="A36" s="4"/>
      <c r="B36" s="4"/>
      <c r="C36" s="4"/>
      <c r="D36" s="4"/>
      <c r="E36" s="1" t="str">
        <f>IF(COUNTA(A36:D36)=0,"",IF(COUNTA(A36:D36)&lt;4,"Complete all four fields",IF(COUNTIFS(Catalog!$A$2:$A$405,A36,Catalog!$B$2:$B$405,B36,Catalog!$C$2:$C$405,C36)&lt;&gt;1,"Choose a valid combination",IF(NOT(ISNUMBER(D36)),"Enter a numeric quantity",IF(OR(D36&lt;1,D36&gt;100,D36&lt;&gt;INT(D36)),"Use a whole quantity 1-100",IF($B$6&gt;100,"Batch exceeds 100 clips","Ready"))))))</f>
        <v/>
      </c>
      <c r="F36" s="1"/>
      <c r="G36" s="1"/>
      <c r="H36" s="1"/>
    </row>
    <row r="37" spans="1:8" ht="24" customHeight="1">
      <c r="A37" s="4"/>
      <c r="B37" s="4"/>
      <c r="C37" s="4"/>
      <c r="D37" s="4"/>
      <c r="E37" s="1" t="str">
        <f>IF(COUNTA(A37:D37)=0,"",IF(COUNTA(A37:D37)&lt;4,"Complete all four fields",IF(COUNTIFS(Catalog!$A$2:$A$405,A37,Catalog!$B$2:$B$405,B37,Catalog!$C$2:$C$405,C37)&lt;&gt;1,"Choose a valid combination",IF(NOT(ISNUMBER(D37)),"Enter a numeric quantity",IF(OR(D37&lt;1,D37&gt;100,D37&lt;&gt;INT(D37)),"Use a whole quantity 1-100",IF($B$6&gt;100,"Batch exceeds 100 clips","Ready"))))))</f>
        <v/>
      </c>
      <c r="F37" s="1"/>
      <c r="G37" s="1"/>
      <c r="H37" s="1"/>
    </row>
    <row r="38" spans="1:8" ht="24" customHeight="1">
      <c r="A38" s="4"/>
      <c r="B38" s="4"/>
      <c r="C38" s="4"/>
      <c r="D38" s="4"/>
      <c r="E38" s="1" t="str">
        <f>IF(COUNTA(A38:D38)=0,"",IF(COUNTA(A38:D38)&lt;4,"Complete all four fields",IF(COUNTIFS(Catalog!$A$2:$A$405,A38,Catalog!$B$2:$B$405,B38,Catalog!$C$2:$C$405,C38)&lt;&gt;1,"Choose a valid combination",IF(NOT(ISNUMBER(D38)),"Enter a numeric quantity",IF(OR(D38&lt;1,D38&gt;100,D38&lt;&gt;INT(D38)),"Use a whole quantity 1-100",IF($B$6&gt;100,"Batch exceeds 100 clips","Ready"))))))</f>
        <v/>
      </c>
      <c r="F38" s="1"/>
      <c r="G38" s="1"/>
      <c r="H38" s="1"/>
    </row>
    <row r="39" spans="1:8" ht="24" customHeight="1">
      <c r="A39" s="4"/>
      <c r="B39" s="4"/>
      <c r="C39" s="4"/>
      <c r="D39" s="4"/>
      <c r="E39" s="1" t="str">
        <f>IF(COUNTA(A39:D39)=0,"",IF(COUNTA(A39:D39)&lt;4,"Complete all four fields",IF(COUNTIFS(Catalog!$A$2:$A$405,A39,Catalog!$B$2:$B$405,B39,Catalog!$C$2:$C$405,C39)&lt;&gt;1,"Choose a valid combination",IF(NOT(ISNUMBER(D39)),"Enter a numeric quantity",IF(OR(D39&lt;1,D39&gt;100,D39&lt;&gt;INT(D39)),"Use a whole quantity 1-100",IF($B$6&gt;100,"Batch exceeds 100 clips","Ready"))))))</f>
        <v/>
      </c>
      <c r="F39" s="1"/>
      <c r="G39" s="1"/>
      <c r="H39" s="1"/>
    </row>
    <row r="40" spans="1:8" ht="24" customHeight="1">
      <c r="A40" s="4"/>
      <c r="B40" s="4"/>
      <c r="C40" s="4"/>
      <c r="D40" s="4"/>
      <c r="E40" s="1" t="str">
        <f>IF(COUNTA(A40:D40)=0,"",IF(COUNTA(A40:D40)&lt;4,"Complete all four fields",IF(COUNTIFS(Catalog!$A$2:$A$405,A40,Catalog!$B$2:$B$405,B40,Catalog!$C$2:$C$405,C40)&lt;&gt;1,"Choose a valid combination",IF(NOT(ISNUMBER(D40)),"Enter a numeric quantity",IF(OR(D40&lt;1,D40&gt;100,D40&lt;&gt;INT(D40)),"Use a whole quantity 1-100",IF($B$6&gt;100,"Batch exceeds 100 clips","Ready"))))))</f>
        <v/>
      </c>
      <c r="F40" s="1"/>
      <c r="G40" s="1"/>
      <c r="H40" s="1"/>
    </row>
    <row r="41" spans="1:8" ht="24" customHeight="1">
      <c r="A41" s="4"/>
      <c r="B41" s="4"/>
      <c r="C41" s="4"/>
      <c r="D41" s="4"/>
      <c r="E41" s="1" t="str">
        <f>IF(COUNTA(A41:D41)=0,"",IF(COUNTA(A41:D41)&lt;4,"Complete all four fields",IF(COUNTIFS(Catalog!$A$2:$A$405,A41,Catalog!$B$2:$B$405,B41,Catalog!$C$2:$C$405,C41)&lt;&gt;1,"Choose a valid combination",IF(NOT(ISNUMBER(D41)),"Enter a numeric quantity",IF(OR(D41&lt;1,D41&gt;100,D41&lt;&gt;INT(D41)),"Use a whole quantity 1-100",IF($B$6&gt;100,"Batch exceeds 100 clips","Ready"))))))</f>
        <v/>
      </c>
      <c r="F41" s="1"/>
      <c r="G41" s="1"/>
      <c r="H41" s="1"/>
    </row>
    <row r="42" spans="1:8" ht="24" customHeight="1">
      <c r="A42" s="4"/>
      <c r="B42" s="4"/>
      <c r="C42" s="4"/>
      <c r="D42" s="4"/>
      <c r="E42" s="1" t="str">
        <f>IF(COUNTA(A42:D42)=0,"",IF(COUNTA(A42:D42)&lt;4,"Complete all four fields",IF(COUNTIFS(Catalog!$A$2:$A$405,A42,Catalog!$B$2:$B$405,B42,Catalog!$C$2:$C$405,C42)&lt;&gt;1,"Choose a valid combination",IF(NOT(ISNUMBER(D42)),"Enter a numeric quantity",IF(OR(D42&lt;1,D42&gt;100,D42&lt;&gt;INT(D42)),"Use a whole quantity 1-100",IF($B$6&gt;100,"Batch exceeds 100 clips","Ready"))))))</f>
        <v/>
      </c>
      <c r="F42" s="1"/>
      <c r="G42" s="1"/>
      <c r="H42" s="1"/>
    </row>
    <row r="43" spans="1:8" ht="24" customHeight="1">
      <c r="A43" s="4"/>
      <c r="B43" s="4"/>
      <c r="C43" s="4"/>
      <c r="D43" s="4"/>
      <c r="E43" s="1" t="str">
        <f>IF(COUNTA(A43:D43)=0,"",IF(COUNTA(A43:D43)&lt;4,"Complete all four fields",IF(COUNTIFS(Catalog!$A$2:$A$405,A43,Catalog!$B$2:$B$405,B43,Catalog!$C$2:$C$405,C43)&lt;&gt;1,"Choose a valid combination",IF(NOT(ISNUMBER(D43)),"Enter a numeric quantity",IF(OR(D43&lt;1,D43&gt;100,D43&lt;&gt;INT(D43)),"Use a whole quantity 1-100",IF($B$6&gt;100,"Batch exceeds 100 clips","Ready"))))))</f>
        <v/>
      </c>
      <c r="F43" s="1"/>
      <c r="G43" s="1"/>
      <c r="H43" s="1"/>
    </row>
    <row r="44" spans="1:8" ht="24" customHeight="1">
      <c r="A44" s="4"/>
      <c r="B44" s="4"/>
      <c r="C44" s="4"/>
      <c r="D44" s="4"/>
      <c r="E44" s="1" t="str">
        <f>IF(COUNTA(A44:D44)=0,"",IF(COUNTA(A44:D44)&lt;4,"Complete all four fields",IF(COUNTIFS(Catalog!$A$2:$A$405,A44,Catalog!$B$2:$B$405,B44,Catalog!$C$2:$C$405,C44)&lt;&gt;1,"Choose a valid combination",IF(NOT(ISNUMBER(D44)),"Enter a numeric quantity",IF(OR(D44&lt;1,D44&gt;100,D44&lt;&gt;INT(D44)),"Use a whole quantity 1-100",IF($B$6&gt;100,"Batch exceeds 100 clips","Ready"))))))</f>
        <v/>
      </c>
      <c r="F44" s="1"/>
      <c r="G44" s="1"/>
      <c r="H44" s="1"/>
    </row>
    <row r="45" spans="1:8" ht="24" customHeight="1">
      <c r="A45" s="4"/>
      <c r="B45" s="4"/>
      <c r="C45" s="4"/>
      <c r="D45" s="4"/>
      <c r="E45" s="1" t="str">
        <f>IF(COUNTA(A45:D45)=0,"",IF(COUNTA(A45:D45)&lt;4,"Complete all four fields",IF(COUNTIFS(Catalog!$A$2:$A$405,A45,Catalog!$B$2:$B$405,B45,Catalog!$C$2:$C$405,C45)&lt;&gt;1,"Choose a valid combination",IF(NOT(ISNUMBER(D45)),"Enter a numeric quantity",IF(OR(D45&lt;1,D45&gt;100,D45&lt;&gt;INT(D45)),"Use a whole quantity 1-100",IF($B$6&gt;100,"Batch exceeds 100 clips","Ready"))))))</f>
        <v/>
      </c>
      <c r="F45" s="1"/>
      <c r="G45" s="1"/>
      <c r="H45" s="1"/>
    </row>
    <row r="46" spans="1:8" ht="24" customHeight="1">
      <c r="A46" s="4"/>
      <c r="B46" s="4"/>
      <c r="C46" s="4"/>
      <c r="D46" s="4"/>
      <c r="E46" s="1" t="str">
        <f>IF(COUNTA(A46:D46)=0,"",IF(COUNTA(A46:D46)&lt;4,"Complete all four fields",IF(COUNTIFS(Catalog!$A$2:$A$405,A46,Catalog!$B$2:$B$405,B46,Catalog!$C$2:$C$405,C46)&lt;&gt;1,"Choose a valid combination",IF(NOT(ISNUMBER(D46)),"Enter a numeric quantity",IF(OR(D46&lt;1,D46&gt;100,D46&lt;&gt;INT(D46)),"Use a whole quantity 1-100",IF($B$6&gt;100,"Batch exceeds 100 clips","Ready"))))))</f>
        <v/>
      </c>
      <c r="F46" s="1"/>
      <c r="G46" s="1"/>
      <c r="H46" s="1"/>
    </row>
    <row r="47" spans="1:8" ht="24" customHeight="1">
      <c r="A47" s="4"/>
      <c r="B47" s="4"/>
      <c r="C47" s="4"/>
      <c r="D47" s="4"/>
      <c r="E47" s="1" t="str">
        <f>IF(COUNTA(A47:D47)=0,"",IF(COUNTA(A47:D47)&lt;4,"Complete all four fields",IF(COUNTIFS(Catalog!$A$2:$A$405,A47,Catalog!$B$2:$B$405,B47,Catalog!$C$2:$C$405,C47)&lt;&gt;1,"Choose a valid combination",IF(NOT(ISNUMBER(D47)),"Enter a numeric quantity",IF(OR(D47&lt;1,D47&gt;100,D47&lt;&gt;INT(D47)),"Use a whole quantity 1-100",IF($B$6&gt;100,"Batch exceeds 100 clips","Ready"))))))</f>
        <v/>
      </c>
      <c r="F47" s="1"/>
      <c r="G47" s="1"/>
      <c r="H47" s="1"/>
    </row>
    <row r="48" spans="1:8" ht="24" customHeight="1">
      <c r="A48" s="4"/>
      <c r="B48" s="4"/>
      <c r="C48" s="4"/>
      <c r="D48" s="4"/>
      <c r="E48" s="1" t="str">
        <f>IF(COUNTA(A48:D48)=0,"",IF(COUNTA(A48:D48)&lt;4,"Complete all four fields",IF(COUNTIFS(Catalog!$A$2:$A$405,A48,Catalog!$B$2:$B$405,B48,Catalog!$C$2:$C$405,C48)&lt;&gt;1,"Choose a valid combination",IF(NOT(ISNUMBER(D48)),"Enter a numeric quantity",IF(OR(D48&lt;1,D48&gt;100,D48&lt;&gt;INT(D48)),"Use a whole quantity 1-100",IF($B$6&gt;100,"Batch exceeds 100 clips","Ready"))))))</f>
        <v/>
      </c>
      <c r="F48" s="1"/>
      <c r="G48" s="1"/>
      <c r="H48" s="1"/>
    </row>
    <row r="49" spans="1:8" ht="24" customHeight="1">
      <c r="A49" s="4"/>
      <c r="B49" s="4"/>
      <c r="C49" s="4"/>
      <c r="D49" s="4"/>
      <c r="E49" s="1" t="str">
        <f>IF(COUNTA(A49:D49)=0,"",IF(COUNTA(A49:D49)&lt;4,"Complete all four fields",IF(COUNTIFS(Catalog!$A$2:$A$405,A49,Catalog!$B$2:$B$405,B49,Catalog!$C$2:$C$405,C49)&lt;&gt;1,"Choose a valid combination",IF(NOT(ISNUMBER(D49)),"Enter a numeric quantity",IF(OR(D49&lt;1,D49&gt;100,D49&lt;&gt;INT(D49)),"Use a whole quantity 1-100",IF($B$6&gt;100,"Batch exceeds 100 clips","Ready"))))))</f>
        <v/>
      </c>
      <c r="F49" s="1"/>
      <c r="G49" s="1"/>
      <c r="H49" s="1"/>
    </row>
    <row r="50" spans="1:8" ht="24" customHeight="1">
      <c r="A50" s="4"/>
      <c r="B50" s="4"/>
      <c r="C50" s="4"/>
      <c r="D50" s="4"/>
      <c r="E50" s="1" t="str">
        <f>IF(COUNTA(A50:D50)=0,"",IF(COUNTA(A50:D50)&lt;4,"Complete all four fields",IF(COUNTIFS(Catalog!$A$2:$A$405,A50,Catalog!$B$2:$B$405,B50,Catalog!$C$2:$C$405,C50)&lt;&gt;1,"Choose a valid combination",IF(NOT(ISNUMBER(D50)),"Enter a numeric quantity",IF(OR(D50&lt;1,D50&gt;100,D50&lt;&gt;INT(D50)),"Use a whole quantity 1-100",IF($B$6&gt;100,"Batch exceeds 100 clips","Ready"))))))</f>
        <v/>
      </c>
      <c r="F50" s="1"/>
      <c r="G50" s="1"/>
      <c r="H50" s="1"/>
    </row>
    <row r="51" spans="1:8" ht="24" customHeight="1">
      <c r="A51" s="4"/>
      <c r="B51" s="4"/>
      <c r="C51" s="4"/>
      <c r="D51" s="4"/>
      <c r="E51" s="1" t="str">
        <f>IF(COUNTA(A51:D51)=0,"",IF(COUNTA(A51:D51)&lt;4,"Complete all four fields",IF(COUNTIFS(Catalog!$A$2:$A$405,A51,Catalog!$B$2:$B$405,B51,Catalog!$C$2:$C$405,C51)&lt;&gt;1,"Choose a valid combination",IF(NOT(ISNUMBER(D51)),"Enter a numeric quantity",IF(OR(D51&lt;1,D51&gt;100,D51&lt;&gt;INT(D51)),"Use a whole quantity 1-100",IF($B$6&gt;100,"Batch exceeds 100 clips","Ready"))))))</f>
        <v/>
      </c>
      <c r="F51" s="1"/>
      <c r="G51" s="1"/>
      <c r="H51" s="1"/>
    </row>
    <row r="52" spans="1:8" ht="24" customHeight="1">
      <c r="A52" s="4"/>
      <c r="B52" s="4"/>
      <c r="C52" s="4"/>
      <c r="D52" s="4"/>
      <c r="E52" s="1" t="str">
        <f>IF(COUNTA(A52:D52)=0,"",IF(COUNTA(A52:D52)&lt;4,"Complete all four fields",IF(COUNTIFS(Catalog!$A$2:$A$405,A52,Catalog!$B$2:$B$405,B52,Catalog!$C$2:$C$405,C52)&lt;&gt;1,"Choose a valid combination",IF(NOT(ISNUMBER(D52)),"Enter a numeric quantity",IF(OR(D52&lt;1,D52&gt;100,D52&lt;&gt;INT(D52)),"Use a whole quantity 1-100",IF($B$6&gt;100,"Batch exceeds 100 clips","Ready"))))))</f>
        <v/>
      </c>
      <c r="F52" s="1"/>
      <c r="G52" s="1"/>
      <c r="H52" s="1"/>
    </row>
    <row r="53" spans="1:8" ht="24" customHeight="1">
      <c r="A53" s="4"/>
      <c r="B53" s="4"/>
      <c r="C53" s="4"/>
      <c r="D53" s="4"/>
      <c r="E53" s="1" t="str">
        <f>IF(COUNTA(A53:D53)=0,"",IF(COUNTA(A53:D53)&lt;4,"Complete all four fields",IF(COUNTIFS(Catalog!$A$2:$A$405,A53,Catalog!$B$2:$B$405,B53,Catalog!$C$2:$C$405,C53)&lt;&gt;1,"Choose a valid combination",IF(NOT(ISNUMBER(D53)),"Enter a numeric quantity",IF(OR(D53&lt;1,D53&gt;100,D53&lt;&gt;INT(D53)),"Use a whole quantity 1-100",IF($B$6&gt;100,"Batch exceeds 100 clips","Ready"))))))</f>
        <v/>
      </c>
      <c r="F53" s="1"/>
      <c r="G53" s="1"/>
      <c r="H53" s="1"/>
    </row>
    <row r="54" spans="1:8" ht="24" customHeight="1">
      <c r="A54" s="4"/>
      <c r="B54" s="4"/>
      <c r="C54" s="4"/>
      <c r="D54" s="4"/>
      <c r="E54" s="1" t="str">
        <f>IF(COUNTA(A54:D54)=0,"",IF(COUNTA(A54:D54)&lt;4,"Complete all four fields",IF(COUNTIFS(Catalog!$A$2:$A$405,A54,Catalog!$B$2:$B$405,B54,Catalog!$C$2:$C$405,C54)&lt;&gt;1,"Choose a valid combination",IF(NOT(ISNUMBER(D54)),"Enter a numeric quantity",IF(OR(D54&lt;1,D54&gt;100,D54&lt;&gt;INT(D54)),"Use a whole quantity 1-100",IF($B$6&gt;100,"Batch exceeds 100 clips","Ready"))))))</f>
        <v/>
      </c>
      <c r="F54" s="1"/>
      <c r="G54" s="1"/>
      <c r="H54" s="1"/>
    </row>
    <row r="55" spans="1:8" ht="24" customHeight="1">
      <c r="A55" s="4"/>
      <c r="B55" s="4"/>
      <c r="C55" s="4"/>
      <c r="D55" s="4"/>
      <c r="E55" s="1" t="str">
        <f>IF(COUNTA(A55:D55)=0,"",IF(COUNTA(A55:D55)&lt;4,"Complete all four fields",IF(COUNTIFS(Catalog!$A$2:$A$405,A55,Catalog!$B$2:$B$405,B55,Catalog!$C$2:$C$405,C55)&lt;&gt;1,"Choose a valid combination",IF(NOT(ISNUMBER(D55)),"Enter a numeric quantity",IF(OR(D55&lt;1,D55&gt;100,D55&lt;&gt;INT(D55)),"Use a whole quantity 1-100",IF($B$6&gt;100,"Batch exceeds 100 clips","Ready"))))))</f>
        <v/>
      </c>
      <c r="F55" s="1"/>
      <c r="G55" s="1"/>
      <c r="H55" s="1"/>
    </row>
    <row r="56" spans="1:8" ht="24" customHeight="1">
      <c r="A56" s="4"/>
      <c r="B56" s="4"/>
      <c r="C56" s="4"/>
      <c r="D56" s="4"/>
      <c r="E56" s="1" t="str">
        <f>IF(COUNTA(A56:D56)=0,"",IF(COUNTA(A56:D56)&lt;4,"Complete all four fields",IF(COUNTIFS(Catalog!$A$2:$A$405,A56,Catalog!$B$2:$B$405,B56,Catalog!$C$2:$C$405,C56)&lt;&gt;1,"Choose a valid combination",IF(NOT(ISNUMBER(D56)),"Enter a numeric quantity",IF(OR(D56&lt;1,D56&gt;100,D56&lt;&gt;INT(D56)),"Use a whole quantity 1-100",IF($B$6&gt;100,"Batch exceeds 100 clips","Ready"))))))</f>
        <v/>
      </c>
      <c r="F56" s="1"/>
      <c r="G56" s="1"/>
      <c r="H56" s="1"/>
    </row>
    <row r="57" spans="1:8" ht="24" customHeight="1">
      <c r="A57" s="4"/>
      <c r="B57" s="4"/>
      <c r="C57" s="4"/>
      <c r="D57" s="4"/>
      <c r="E57" s="1" t="str">
        <f>IF(COUNTA(A57:D57)=0,"",IF(COUNTA(A57:D57)&lt;4,"Complete all four fields",IF(COUNTIFS(Catalog!$A$2:$A$405,A57,Catalog!$B$2:$B$405,B57,Catalog!$C$2:$C$405,C57)&lt;&gt;1,"Choose a valid combination",IF(NOT(ISNUMBER(D57)),"Enter a numeric quantity",IF(OR(D57&lt;1,D57&gt;100,D57&lt;&gt;INT(D57)),"Use a whole quantity 1-100",IF($B$6&gt;100,"Batch exceeds 100 clips","Ready"))))))</f>
        <v/>
      </c>
      <c r="F57" s="1"/>
      <c r="G57" s="1"/>
      <c r="H57" s="1"/>
    </row>
    <row r="58" spans="1:8" ht="24" customHeight="1">
      <c r="A58" s="4"/>
      <c r="B58" s="4"/>
      <c r="C58" s="4"/>
      <c r="D58" s="4"/>
      <c r="E58" s="1" t="str">
        <f>IF(COUNTA(A58:D58)=0,"",IF(COUNTA(A58:D58)&lt;4,"Complete all four fields",IF(COUNTIFS(Catalog!$A$2:$A$405,A58,Catalog!$B$2:$B$405,B58,Catalog!$C$2:$C$405,C58)&lt;&gt;1,"Choose a valid combination",IF(NOT(ISNUMBER(D58)),"Enter a numeric quantity",IF(OR(D58&lt;1,D58&gt;100,D58&lt;&gt;INT(D58)),"Use a whole quantity 1-100",IF($B$6&gt;100,"Batch exceeds 100 clips","Ready"))))))</f>
        <v/>
      </c>
      <c r="F58" s="1"/>
      <c r="G58" s="1"/>
      <c r="H58" s="1"/>
    </row>
    <row r="59" spans="1:8" ht="24" customHeight="1">
      <c r="A59" s="4"/>
      <c r="B59" s="4"/>
      <c r="C59" s="4"/>
      <c r="D59" s="4"/>
      <c r="E59" s="1" t="str">
        <f>IF(COUNTA(A59:D59)=0,"",IF(COUNTA(A59:D59)&lt;4,"Complete all four fields",IF(COUNTIFS(Catalog!$A$2:$A$405,A59,Catalog!$B$2:$B$405,B59,Catalog!$C$2:$C$405,C59)&lt;&gt;1,"Choose a valid combination",IF(NOT(ISNUMBER(D59)),"Enter a numeric quantity",IF(OR(D59&lt;1,D59&gt;100,D59&lt;&gt;INT(D59)),"Use a whole quantity 1-100",IF($B$6&gt;100,"Batch exceeds 100 clips","Ready"))))))</f>
        <v/>
      </c>
      <c r="F59" s="1"/>
      <c r="G59" s="1"/>
      <c r="H59" s="1"/>
    </row>
    <row r="60" spans="1:8" ht="24" customHeight="1">
      <c r="A60" s="4"/>
      <c r="B60" s="4"/>
      <c r="C60" s="4"/>
      <c r="D60" s="4"/>
      <c r="E60" s="1" t="str">
        <f>IF(COUNTA(A60:D60)=0,"",IF(COUNTA(A60:D60)&lt;4,"Complete all four fields",IF(COUNTIFS(Catalog!$A$2:$A$405,A60,Catalog!$B$2:$B$405,B60,Catalog!$C$2:$C$405,C60)&lt;&gt;1,"Choose a valid combination",IF(NOT(ISNUMBER(D60)),"Enter a numeric quantity",IF(OR(D60&lt;1,D60&gt;100,D60&lt;&gt;INT(D60)),"Use a whole quantity 1-100",IF($B$6&gt;100,"Batch exceeds 100 clips","Ready"))))))</f>
        <v/>
      </c>
      <c r="F60" s="1"/>
      <c r="G60" s="1"/>
      <c r="H60" s="1"/>
    </row>
    <row r="61" spans="1:8" ht="24" customHeight="1">
      <c r="A61" s="4"/>
      <c r="B61" s="4"/>
      <c r="C61" s="4"/>
      <c r="D61" s="4"/>
      <c r="E61" s="1" t="str">
        <f>IF(COUNTA(A61:D61)=0,"",IF(COUNTA(A61:D61)&lt;4,"Complete all four fields",IF(COUNTIFS(Catalog!$A$2:$A$405,A61,Catalog!$B$2:$B$405,B61,Catalog!$C$2:$C$405,C61)&lt;&gt;1,"Choose a valid combination",IF(NOT(ISNUMBER(D61)),"Enter a numeric quantity",IF(OR(D61&lt;1,D61&gt;100,D61&lt;&gt;INT(D61)),"Use a whole quantity 1-100",IF($B$6&gt;100,"Batch exceeds 100 clips","Ready"))))))</f>
        <v/>
      </c>
      <c r="F61" s="1"/>
      <c r="G61" s="1"/>
      <c r="H61" s="1"/>
    </row>
    <row r="62" spans="1:8" ht="24" customHeight="1">
      <c r="A62" s="4"/>
      <c r="B62" s="4"/>
      <c r="C62" s="4"/>
      <c r="D62" s="4"/>
      <c r="E62" s="1" t="str">
        <f>IF(COUNTA(A62:D62)=0,"",IF(COUNTA(A62:D62)&lt;4,"Complete all four fields",IF(COUNTIFS(Catalog!$A$2:$A$405,A62,Catalog!$B$2:$B$405,B62,Catalog!$C$2:$C$405,C62)&lt;&gt;1,"Choose a valid combination",IF(NOT(ISNUMBER(D62)),"Enter a numeric quantity",IF(OR(D62&lt;1,D62&gt;100,D62&lt;&gt;INT(D62)),"Use a whole quantity 1-100",IF($B$6&gt;100,"Batch exceeds 100 clips","Ready"))))))</f>
        <v/>
      </c>
      <c r="F62" s="1"/>
      <c r="G62" s="1"/>
      <c r="H62" s="1"/>
    </row>
    <row r="63" spans="1:8" ht="24" customHeight="1">
      <c r="A63" s="4"/>
      <c r="B63" s="4"/>
      <c r="C63" s="4"/>
      <c r="D63" s="4"/>
      <c r="E63" s="1" t="str">
        <f>IF(COUNTA(A63:D63)=0,"",IF(COUNTA(A63:D63)&lt;4,"Complete all four fields",IF(COUNTIFS(Catalog!$A$2:$A$405,A63,Catalog!$B$2:$B$405,B63,Catalog!$C$2:$C$405,C63)&lt;&gt;1,"Choose a valid combination",IF(NOT(ISNUMBER(D63)),"Enter a numeric quantity",IF(OR(D63&lt;1,D63&gt;100,D63&lt;&gt;INT(D63)),"Use a whole quantity 1-100",IF($B$6&gt;100,"Batch exceeds 100 clips","Ready"))))))</f>
        <v/>
      </c>
      <c r="F63" s="1"/>
      <c r="G63" s="1"/>
      <c r="H63" s="1"/>
    </row>
    <row r="64" spans="1:8" ht="24" customHeight="1">
      <c r="A64" s="4"/>
      <c r="B64" s="4"/>
      <c r="C64" s="4"/>
      <c r="D64" s="4"/>
      <c r="E64" s="1" t="str">
        <f>IF(COUNTA(A64:D64)=0,"",IF(COUNTA(A64:D64)&lt;4,"Complete all four fields",IF(COUNTIFS(Catalog!$A$2:$A$405,A64,Catalog!$B$2:$B$405,B64,Catalog!$C$2:$C$405,C64)&lt;&gt;1,"Choose a valid combination",IF(NOT(ISNUMBER(D64)),"Enter a numeric quantity",IF(OR(D64&lt;1,D64&gt;100,D64&lt;&gt;INT(D64)),"Use a whole quantity 1-100",IF($B$6&gt;100,"Batch exceeds 100 clips","Ready"))))))</f>
        <v/>
      </c>
      <c r="F64" s="1"/>
      <c r="G64" s="1"/>
      <c r="H64" s="1"/>
    </row>
    <row r="65" spans="1:8" ht="24" customHeight="1">
      <c r="A65" s="4"/>
      <c r="B65" s="4"/>
      <c r="C65" s="4"/>
      <c r="D65" s="4"/>
      <c r="E65" s="1" t="str">
        <f>IF(COUNTA(A65:D65)=0,"",IF(COUNTA(A65:D65)&lt;4,"Complete all four fields",IF(COUNTIFS(Catalog!$A$2:$A$405,A65,Catalog!$B$2:$B$405,B65,Catalog!$C$2:$C$405,C65)&lt;&gt;1,"Choose a valid combination",IF(NOT(ISNUMBER(D65)),"Enter a numeric quantity",IF(OR(D65&lt;1,D65&gt;100,D65&lt;&gt;INT(D65)),"Use a whole quantity 1-100",IF($B$6&gt;100,"Batch exceeds 100 clips","Ready"))))))</f>
        <v/>
      </c>
      <c r="F65" s="1"/>
      <c r="G65" s="1"/>
      <c r="H65" s="1"/>
    </row>
    <row r="66" spans="1:8" ht="24" customHeight="1">
      <c r="A66" s="4"/>
      <c r="B66" s="4"/>
      <c r="C66" s="4"/>
      <c r="D66" s="4"/>
      <c r="E66" s="1" t="str">
        <f>IF(COUNTA(A66:D66)=0,"",IF(COUNTA(A66:D66)&lt;4,"Complete all four fields",IF(COUNTIFS(Catalog!$A$2:$A$405,A66,Catalog!$B$2:$B$405,B66,Catalog!$C$2:$C$405,C66)&lt;&gt;1,"Choose a valid combination",IF(NOT(ISNUMBER(D66)),"Enter a numeric quantity",IF(OR(D66&lt;1,D66&gt;100,D66&lt;&gt;INT(D66)),"Use a whole quantity 1-100",IF($B$6&gt;100,"Batch exceeds 100 clips","Ready"))))))</f>
        <v/>
      </c>
      <c r="F66" s="1"/>
      <c r="G66" s="1"/>
      <c r="H66" s="1"/>
    </row>
    <row r="67" spans="1:8" ht="24" customHeight="1">
      <c r="A67" s="4"/>
      <c r="B67" s="4"/>
      <c r="C67" s="4"/>
      <c r="D67" s="4"/>
      <c r="E67" s="1" t="str">
        <f>IF(COUNTA(A67:D67)=0,"",IF(COUNTA(A67:D67)&lt;4,"Complete all four fields",IF(COUNTIFS(Catalog!$A$2:$A$405,A67,Catalog!$B$2:$B$405,B67,Catalog!$C$2:$C$405,C67)&lt;&gt;1,"Choose a valid combination",IF(NOT(ISNUMBER(D67)),"Enter a numeric quantity",IF(OR(D67&lt;1,D67&gt;100,D67&lt;&gt;INT(D67)),"Use a whole quantity 1-100",IF($B$6&gt;100,"Batch exceeds 100 clips","Ready"))))))</f>
        <v/>
      </c>
      <c r="F67" s="1"/>
      <c r="G67" s="1"/>
      <c r="H67" s="1"/>
    </row>
    <row r="68" spans="1:8" ht="24" customHeight="1">
      <c r="A68" s="4"/>
      <c r="B68" s="4"/>
      <c r="C68" s="4"/>
      <c r="D68" s="4"/>
      <c r="E68" s="1" t="str">
        <f>IF(COUNTA(A68:D68)=0,"",IF(COUNTA(A68:D68)&lt;4,"Complete all four fields",IF(COUNTIFS(Catalog!$A$2:$A$405,A68,Catalog!$B$2:$B$405,B68,Catalog!$C$2:$C$405,C68)&lt;&gt;1,"Choose a valid combination",IF(NOT(ISNUMBER(D68)),"Enter a numeric quantity",IF(OR(D68&lt;1,D68&gt;100,D68&lt;&gt;INT(D68)),"Use a whole quantity 1-100",IF($B$6&gt;100,"Batch exceeds 100 clips","Ready"))))))</f>
        <v/>
      </c>
      <c r="F68" s="1"/>
      <c r="G68" s="1"/>
      <c r="H68" s="1"/>
    </row>
    <row r="69" spans="1:8" ht="24" customHeight="1">
      <c r="A69" s="4"/>
      <c r="B69" s="4"/>
      <c r="C69" s="4"/>
      <c r="D69" s="4"/>
      <c r="E69" s="1" t="str">
        <f>IF(COUNTA(A69:D69)=0,"",IF(COUNTA(A69:D69)&lt;4,"Complete all four fields",IF(COUNTIFS(Catalog!$A$2:$A$405,A69,Catalog!$B$2:$B$405,B69,Catalog!$C$2:$C$405,C69)&lt;&gt;1,"Choose a valid combination",IF(NOT(ISNUMBER(D69)),"Enter a numeric quantity",IF(OR(D69&lt;1,D69&gt;100,D69&lt;&gt;INT(D69)),"Use a whole quantity 1-100",IF($B$6&gt;100,"Batch exceeds 100 clips","Ready"))))))</f>
        <v/>
      </c>
      <c r="F69" s="1"/>
      <c r="G69" s="1"/>
      <c r="H69" s="1"/>
    </row>
    <row r="70" spans="1:8" ht="24" customHeight="1">
      <c r="A70" s="4"/>
      <c r="B70" s="4"/>
      <c r="C70" s="4"/>
      <c r="D70" s="4"/>
      <c r="E70" s="1" t="str">
        <f>IF(COUNTA(A70:D70)=0,"",IF(COUNTA(A70:D70)&lt;4,"Complete all four fields",IF(COUNTIFS(Catalog!$A$2:$A$405,A70,Catalog!$B$2:$B$405,B70,Catalog!$C$2:$C$405,C70)&lt;&gt;1,"Choose a valid combination",IF(NOT(ISNUMBER(D70)),"Enter a numeric quantity",IF(OR(D70&lt;1,D70&gt;100,D70&lt;&gt;INT(D70)),"Use a whole quantity 1-100",IF($B$6&gt;100,"Batch exceeds 100 clips","Ready"))))))</f>
        <v/>
      </c>
      <c r="F70" s="1"/>
      <c r="G70" s="1"/>
      <c r="H70" s="1"/>
    </row>
    <row r="71" spans="1:8" ht="24" customHeight="1">
      <c r="A71" s="4"/>
      <c r="B71" s="4"/>
      <c r="C71" s="4"/>
      <c r="D71" s="4"/>
      <c r="E71" s="1" t="str">
        <f>IF(COUNTA(A71:D71)=0,"",IF(COUNTA(A71:D71)&lt;4,"Complete all four fields",IF(COUNTIFS(Catalog!$A$2:$A$405,A71,Catalog!$B$2:$B$405,B71,Catalog!$C$2:$C$405,C71)&lt;&gt;1,"Choose a valid combination",IF(NOT(ISNUMBER(D71)),"Enter a numeric quantity",IF(OR(D71&lt;1,D71&gt;100,D71&lt;&gt;INT(D71)),"Use a whole quantity 1-100",IF($B$6&gt;100,"Batch exceeds 100 clips","Ready"))))))</f>
        <v/>
      </c>
      <c r="F71" s="1"/>
      <c r="G71" s="1"/>
      <c r="H71" s="1"/>
    </row>
    <row r="72" spans="1:8" ht="24" customHeight="1">
      <c r="A72" s="4"/>
      <c r="B72" s="4"/>
      <c r="C72" s="4"/>
      <c r="D72" s="4"/>
      <c r="E72" s="1" t="str">
        <f>IF(COUNTA(A72:D72)=0,"",IF(COUNTA(A72:D72)&lt;4,"Complete all four fields",IF(COUNTIFS(Catalog!$A$2:$A$405,A72,Catalog!$B$2:$B$405,B72,Catalog!$C$2:$C$405,C72)&lt;&gt;1,"Choose a valid combination",IF(NOT(ISNUMBER(D72)),"Enter a numeric quantity",IF(OR(D72&lt;1,D72&gt;100,D72&lt;&gt;INT(D72)),"Use a whole quantity 1-100",IF($B$6&gt;100,"Batch exceeds 100 clips","Ready"))))))</f>
        <v/>
      </c>
      <c r="F72" s="1"/>
      <c r="G72" s="1"/>
      <c r="H72" s="1"/>
    </row>
    <row r="73" spans="1:8" ht="24" customHeight="1">
      <c r="A73" s="4"/>
      <c r="B73" s="4"/>
      <c r="C73" s="4"/>
      <c r="D73" s="4"/>
      <c r="E73" s="1" t="str">
        <f>IF(COUNTA(A73:D73)=0,"",IF(COUNTA(A73:D73)&lt;4,"Complete all four fields",IF(COUNTIFS(Catalog!$A$2:$A$405,A73,Catalog!$B$2:$B$405,B73,Catalog!$C$2:$C$405,C73)&lt;&gt;1,"Choose a valid combination",IF(NOT(ISNUMBER(D73)),"Enter a numeric quantity",IF(OR(D73&lt;1,D73&gt;100,D73&lt;&gt;INT(D73)),"Use a whole quantity 1-100",IF($B$6&gt;100,"Batch exceeds 100 clips","Ready"))))))</f>
        <v/>
      </c>
      <c r="F73" s="1"/>
      <c r="G73" s="1"/>
      <c r="H73" s="1"/>
    </row>
    <row r="74" spans="1:8" ht="24" customHeight="1">
      <c r="A74" s="4"/>
      <c r="B74" s="4"/>
      <c r="C74" s="4"/>
      <c r="D74" s="4"/>
      <c r="E74" s="1" t="str">
        <f>IF(COUNTA(A74:D74)=0,"",IF(COUNTA(A74:D74)&lt;4,"Complete all four fields",IF(COUNTIFS(Catalog!$A$2:$A$405,A74,Catalog!$B$2:$B$405,B74,Catalog!$C$2:$C$405,C74)&lt;&gt;1,"Choose a valid combination",IF(NOT(ISNUMBER(D74)),"Enter a numeric quantity",IF(OR(D74&lt;1,D74&gt;100,D74&lt;&gt;INT(D74)),"Use a whole quantity 1-100",IF($B$6&gt;100,"Batch exceeds 100 clips","Ready"))))))</f>
        <v/>
      </c>
      <c r="F74" s="1"/>
      <c r="G74" s="1"/>
      <c r="H74" s="1"/>
    </row>
    <row r="75" spans="1:8" ht="24" customHeight="1">
      <c r="A75" s="4"/>
      <c r="B75" s="4"/>
      <c r="C75" s="4"/>
      <c r="D75" s="4"/>
      <c r="E75" s="1" t="str">
        <f>IF(COUNTA(A75:D75)=0,"",IF(COUNTA(A75:D75)&lt;4,"Complete all four fields",IF(COUNTIFS(Catalog!$A$2:$A$405,A75,Catalog!$B$2:$B$405,B75,Catalog!$C$2:$C$405,C75)&lt;&gt;1,"Choose a valid combination",IF(NOT(ISNUMBER(D75)),"Enter a numeric quantity",IF(OR(D75&lt;1,D75&gt;100,D75&lt;&gt;INT(D75)),"Use a whole quantity 1-100",IF($B$6&gt;100,"Batch exceeds 100 clips","Ready"))))))</f>
        <v/>
      </c>
      <c r="F75" s="1"/>
      <c r="G75" s="1"/>
      <c r="H75" s="1"/>
    </row>
    <row r="76" spans="1:8" ht="24" customHeight="1">
      <c r="A76" s="4"/>
      <c r="B76" s="4"/>
      <c r="C76" s="4"/>
      <c r="D76" s="4"/>
      <c r="E76" s="1" t="str">
        <f>IF(COUNTA(A76:D76)=0,"",IF(COUNTA(A76:D76)&lt;4,"Complete all four fields",IF(COUNTIFS(Catalog!$A$2:$A$405,A76,Catalog!$B$2:$B$405,B76,Catalog!$C$2:$C$405,C76)&lt;&gt;1,"Choose a valid combination",IF(NOT(ISNUMBER(D76)),"Enter a numeric quantity",IF(OR(D76&lt;1,D76&gt;100,D76&lt;&gt;INT(D76)),"Use a whole quantity 1-100",IF($B$6&gt;100,"Batch exceeds 100 clips","Ready"))))))</f>
        <v/>
      </c>
      <c r="F76" s="1"/>
      <c r="G76" s="1"/>
      <c r="H76" s="1"/>
    </row>
    <row r="77" spans="1:8" ht="24" customHeight="1">
      <c r="A77" s="4"/>
      <c r="B77" s="4"/>
      <c r="C77" s="4"/>
      <c r="D77" s="4"/>
      <c r="E77" s="1" t="str">
        <f>IF(COUNTA(A77:D77)=0,"",IF(COUNTA(A77:D77)&lt;4,"Complete all four fields",IF(COUNTIFS(Catalog!$A$2:$A$405,A77,Catalog!$B$2:$B$405,B77,Catalog!$C$2:$C$405,C77)&lt;&gt;1,"Choose a valid combination",IF(NOT(ISNUMBER(D77)),"Enter a numeric quantity",IF(OR(D77&lt;1,D77&gt;100,D77&lt;&gt;INT(D77)),"Use a whole quantity 1-100",IF($B$6&gt;100,"Batch exceeds 100 clips","Ready"))))))</f>
        <v/>
      </c>
      <c r="F77" s="1"/>
      <c r="G77" s="1"/>
      <c r="H77" s="1"/>
    </row>
    <row r="78" spans="1:8" ht="24" customHeight="1">
      <c r="A78" s="4"/>
      <c r="B78" s="4"/>
      <c r="C78" s="4"/>
      <c r="D78" s="4"/>
      <c r="E78" s="1" t="str">
        <f>IF(COUNTA(A78:D78)=0,"",IF(COUNTA(A78:D78)&lt;4,"Complete all four fields",IF(COUNTIFS(Catalog!$A$2:$A$405,A78,Catalog!$B$2:$B$405,B78,Catalog!$C$2:$C$405,C78)&lt;&gt;1,"Choose a valid combination",IF(NOT(ISNUMBER(D78)),"Enter a numeric quantity",IF(OR(D78&lt;1,D78&gt;100,D78&lt;&gt;INT(D78)),"Use a whole quantity 1-100",IF($B$6&gt;100,"Batch exceeds 100 clips","Ready"))))))</f>
        <v/>
      </c>
      <c r="F78" s="1"/>
      <c r="G78" s="1"/>
      <c r="H78" s="1"/>
    </row>
    <row r="79" spans="1:8" ht="24" customHeight="1">
      <c r="A79" s="4"/>
      <c r="B79" s="4"/>
      <c r="C79" s="4"/>
      <c r="D79" s="4"/>
      <c r="E79" s="1" t="str">
        <f>IF(COUNTA(A79:D79)=0,"",IF(COUNTA(A79:D79)&lt;4,"Complete all four fields",IF(COUNTIFS(Catalog!$A$2:$A$405,A79,Catalog!$B$2:$B$405,B79,Catalog!$C$2:$C$405,C79)&lt;&gt;1,"Choose a valid combination",IF(NOT(ISNUMBER(D79)),"Enter a numeric quantity",IF(OR(D79&lt;1,D79&gt;100,D79&lt;&gt;INT(D79)),"Use a whole quantity 1-100",IF($B$6&gt;100,"Batch exceeds 100 clips","Ready"))))))</f>
        <v/>
      </c>
      <c r="F79" s="1"/>
      <c r="G79" s="1"/>
      <c r="H79" s="1"/>
    </row>
    <row r="80" spans="1:8" ht="24" customHeight="1">
      <c r="A80" s="4"/>
      <c r="B80" s="4"/>
      <c r="C80" s="4"/>
      <c r="D80" s="4"/>
      <c r="E80" s="1" t="str">
        <f>IF(COUNTA(A80:D80)=0,"",IF(COUNTA(A80:D80)&lt;4,"Complete all four fields",IF(COUNTIFS(Catalog!$A$2:$A$405,A80,Catalog!$B$2:$B$405,B80,Catalog!$C$2:$C$405,C80)&lt;&gt;1,"Choose a valid combination",IF(NOT(ISNUMBER(D80)),"Enter a numeric quantity",IF(OR(D80&lt;1,D80&gt;100,D80&lt;&gt;INT(D80)),"Use a whole quantity 1-100",IF($B$6&gt;100,"Batch exceeds 100 clips","Ready"))))))</f>
        <v/>
      </c>
      <c r="F80" s="1"/>
      <c r="G80" s="1"/>
      <c r="H80" s="1"/>
    </row>
    <row r="81" spans="1:8" ht="24" customHeight="1">
      <c r="A81" s="4"/>
      <c r="B81" s="4"/>
      <c r="C81" s="4"/>
      <c r="D81" s="4"/>
      <c r="E81" s="1" t="str">
        <f>IF(COUNTA(A81:D81)=0,"",IF(COUNTA(A81:D81)&lt;4,"Complete all four fields",IF(COUNTIFS(Catalog!$A$2:$A$405,A81,Catalog!$B$2:$B$405,B81,Catalog!$C$2:$C$405,C81)&lt;&gt;1,"Choose a valid combination",IF(NOT(ISNUMBER(D81)),"Enter a numeric quantity",IF(OR(D81&lt;1,D81&gt;100,D81&lt;&gt;INT(D81)),"Use a whole quantity 1-100",IF($B$6&gt;100,"Batch exceeds 100 clips","Ready"))))))</f>
        <v/>
      </c>
      <c r="F81" s="1"/>
      <c r="G81" s="1"/>
      <c r="H81" s="1"/>
    </row>
    <row r="82" spans="1:8" ht="24" customHeight="1">
      <c r="A82" s="4"/>
      <c r="B82" s="4"/>
      <c r="C82" s="4"/>
      <c r="D82" s="4"/>
      <c r="E82" s="1" t="str">
        <f>IF(COUNTA(A82:D82)=0,"",IF(COUNTA(A82:D82)&lt;4,"Complete all four fields",IF(COUNTIFS(Catalog!$A$2:$A$405,A82,Catalog!$B$2:$B$405,B82,Catalog!$C$2:$C$405,C82)&lt;&gt;1,"Choose a valid combination",IF(NOT(ISNUMBER(D82)),"Enter a numeric quantity",IF(OR(D82&lt;1,D82&gt;100,D82&lt;&gt;INT(D82)),"Use a whole quantity 1-100",IF($B$6&gt;100,"Batch exceeds 100 clips","Ready"))))))</f>
        <v/>
      </c>
      <c r="F82" s="1"/>
      <c r="G82" s="1"/>
      <c r="H82" s="1"/>
    </row>
    <row r="83" spans="1:8" ht="24" customHeight="1">
      <c r="A83" s="4"/>
      <c r="B83" s="4"/>
      <c r="C83" s="4"/>
      <c r="D83" s="4"/>
      <c r="E83" s="1" t="str">
        <f>IF(COUNTA(A83:D83)=0,"",IF(COUNTA(A83:D83)&lt;4,"Complete all four fields",IF(COUNTIFS(Catalog!$A$2:$A$405,A83,Catalog!$B$2:$B$405,B83,Catalog!$C$2:$C$405,C83)&lt;&gt;1,"Choose a valid combination",IF(NOT(ISNUMBER(D83)),"Enter a numeric quantity",IF(OR(D83&lt;1,D83&gt;100,D83&lt;&gt;INT(D83)),"Use a whole quantity 1-100",IF($B$6&gt;100,"Batch exceeds 100 clips","Ready"))))))</f>
        <v/>
      </c>
      <c r="F83" s="1"/>
      <c r="G83" s="1"/>
      <c r="H83" s="1"/>
    </row>
    <row r="84" spans="1:8" ht="24" customHeight="1">
      <c r="A84" s="4"/>
      <c r="B84" s="4"/>
      <c r="C84" s="4"/>
      <c r="D84" s="4"/>
      <c r="E84" s="1" t="str">
        <f>IF(COUNTA(A84:D84)=0,"",IF(COUNTA(A84:D84)&lt;4,"Complete all four fields",IF(COUNTIFS(Catalog!$A$2:$A$405,A84,Catalog!$B$2:$B$405,B84,Catalog!$C$2:$C$405,C84)&lt;&gt;1,"Choose a valid combination",IF(NOT(ISNUMBER(D84)),"Enter a numeric quantity",IF(OR(D84&lt;1,D84&gt;100,D84&lt;&gt;INT(D84)),"Use a whole quantity 1-100",IF($B$6&gt;100,"Batch exceeds 100 clips","Ready"))))))</f>
        <v/>
      </c>
      <c r="F84" s="1"/>
      <c r="G84" s="1"/>
      <c r="H84" s="1"/>
    </row>
    <row r="85" spans="1:8" ht="24" customHeight="1">
      <c r="A85" s="4"/>
      <c r="B85" s="4"/>
      <c r="C85" s="4"/>
      <c r="D85" s="4"/>
      <c r="E85" s="1" t="str">
        <f>IF(COUNTA(A85:D85)=0,"",IF(COUNTA(A85:D85)&lt;4,"Complete all four fields",IF(COUNTIFS(Catalog!$A$2:$A$405,A85,Catalog!$B$2:$B$405,B85,Catalog!$C$2:$C$405,C85)&lt;&gt;1,"Choose a valid combination",IF(NOT(ISNUMBER(D85)),"Enter a numeric quantity",IF(OR(D85&lt;1,D85&gt;100,D85&lt;&gt;INT(D85)),"Use a whole quantity 1-100",IF($B$6&gt;100,"Batch exceeds 100 clips","Ready"))))))</f>
        <v/>
      </c>
      <c r="F85" s="1"/>
      <c r="G85" s="1"/>
      <c r="H85" s="1"/>
    </row>
    <row r="86" spans="1:8" ht="24" customHeight="1">
      <c r="A86" s="4"/>
      <c r="B86" s="4"/>
      <c r="C86" s="4"/>
      <c r="D86" s="4"/>
      <c r="E86" s="1" t="str">
        <f>IF(COUNTA(A86:D86)=0,"",IF(COUNTA(A86:D86)&lt;4,"Complete all four fields",IF(COUNTIFS(Catalog!$A$2:$A$405,A86,Catalog!$B$2:$B$405,B86,Catalog!$C$2:$C$405,C86)&lt;&gt;1,"Choose a valid combination",IF(NOT(ISNUMBER(D86)),"Enter a numeric quantity",IF(OR(D86&lt;1,D86&gt;100,D86&lt;&gt;INT(D86)),"Use a whole quantity 1-100",IF($B$6&gt;100,"Batch exceeds 100 clips","Ready"))))))</f>
        <v/>
      </c>
      <c r="F86" s="1"/>
      <c r="G86" s="1"/>
      <c r="H86" s="1"/>
    </row>
    <row r="87" spans="1:8" ht="24" customHeight="1">
      <c r="A87" s="4"/>
      <c r="B87" s="4"/>
      <c r="C87" s="4"/>
      <c r="D87" s="4"/>
      <c r="E87" s="1" t="str">
        <f>IF(COUNTA(A87:D87)=0,"",IF(COUNTA(A87:D87)&lt;4,"Complete all four fields",IF(COUNTIFS(Catalog!$A$2:$A$405,A87,Catalog!$B$2:$B$405,B87,Catalog!$C$2:$C$405,C87)&lt;&gt;1,"Choose a valid combination",IF(NOT(ISNUMBER(D87)),"Enter a numeric quantity",IF(OR(D87&lt;1,D87&gt;100,D87&lt;&gt;INT(D87)),"Use a whole quantity 1-100",IF($B$6&gt;100,"Batch exceeds 100 clips","Ready"))))))</f>
        <v/>
      </c>
      <c r="F87" s="1"/>
      <c r="G87" s="1"/>
      <c r="H87" s="1"/>
    </row>
    <row r="88" spans="1:8" ht="24" customHeight="1">
      <c r="A88" s="4"/>
      <c r="B88" s="4"/>
      <c r="C88" s="4"/>
      <c r="D88" s="4"/>
      <c r="E88" s="1" t="str">
        <f>IF(COUNTA(A88:D88)=0,"",IF(COUNTA(A88:D88)&lt;4,"Complete all four fields",IF(COUNTIFS(Catalog!$A$2:$A$405,A88,Catalog!$B$2:$B$405,B88,Catalog!$C$2:$C$405,C88)&lt;&gt;1,"Choose a valid combination",IF(NOT(ISNUMBER(D88)),"Enter a numeric quantity",IF(OR(D88&lt;1,D88&gt;100,D88&lt;&gt;INT(D88)),"Use a whole quantity 1-100",IF($B$6&gt;100,"Batch exceeds 100 clips","Ready"))))))</f>
        <v/>
      </c>
      <c r="F88" s="1"/>
      <c r="G88" s="1"/>
      <c r="H88" s="1"/>
    </row>
    <row r="89" spans="1:8" ht="24" customHeight="1">
      <c r="A89" s="4"/>
      <c r="B89" s="4"/>
      <c r="C89" s="4"/>
      <c r="D89" s="4"/>
      <c r="E89" s="1" t="str">
        <f>IF(COUNTA(A89:D89)=0,"",IF(COUNTA(A89:D89)&lt;4,"Complete all four fields",IF(COUNTIFS(Catalog!$A$2:$A$405,A89,Catalog!$B$2:$B$405,B89,Catalog!$C$2:$C$405,C89)&lt;&gt;1,"Choose a valid combination",IF(NOT(ISNUMBER(D89)),"Enter a numeric quantity",IF(OR(D89&lt;1,D89&gt;100,D89&lt;&gt;INT(D89)),"Use a whole quantity 1-100",IF($B$6&gt;100,"Batch exceeds 100 clips","Ready"))))))</f>
        <v/>
      </c>
      <c r="F89" s="1"/>
      <c r="G89" s="1"/>
      <c r="H89" s="1"/>
    </row>
    <row r="90" spans="1:8" ht="24" customHeight="1">
      <c r="A90" s="4"/>
      <c r="B90" s="4"/>
      <c r="C90" s="4"/>
      <c r="D90" s="4"/>
      <c r="E90" s="1" t="str">
        <f>IF(COUNTA(A90:D90)=0,"",IF(COUNTA(A90:D90)&lt;4,"Complete all four fields",IF(COUNTIFS(Catalog!$A$2:$A$405,A90,Catalog!$B$2:$B$405,B90,Catalog!$C$2:$C$405,C90)&lt;&gt;1,"Choose a valid combination",IF(NOT(ISNUMBER(D90)),"Enter a numeric quantity",IF(OR(D90&lt;1,D90&gt;100,D90&lt;&gt;INT(D90)),"Use a whole quantity 1-100",IF($B$6&gt;100,"Batch exceeds 100 clips","Ready"))))))</f>
        <v/>
      </c>
      <c r="F90" s="1"/>
      <c r="G90" s="1"/>
      <c r="H90" s="1"/>
    </row>
    <row r="91" spans="1:8" ht="24" customHeight="1">
      <c r="A91" s="4"/>
      <c r="B91" s="4"/>
      <c r="C91" s="4"/>
      <c r="D91" s="4"/>
      <c r="E91" s="1" t="str">
        <f>IF(COUNTA(A91:D91)=0,"",IF(COUNTA(A91:D91)&lt;4,"Complete all four fields",IF(COUNTIFS(Catalog!$A$2:$A$405,A91,Catalog!$B$2:$B$405,B91,Catalog!$C$2:$C$405,C91)&lt;&gt;1,"Choose a valid combination",IF(NOT(ISNUMBER(D91)),"Enter a numeric quantity",IF(OR(D91&lt;1,D91&gt;100,D91&lt;&gt;INT(D91)),"Use a whole quantity 1-100",IF($B$6&gt;100,"Batch exceeds 100 clips","Ready"))))))</f>
        <v/>
      </c>
      <c r="F91" s="1"/>
      <c r="G91" s="1"/>
      <c r="H91" s="1"/>
    </row>
    <row r="92" spans="1:8" ht="24" customHeight="1">
      <c r="A92" s="4"/>
      <c r="B92" s="4"/>
      <c r="C92" s="4"/>
      <c r="D92" s="4"/>
      <c r="E92" s="1" t="str">
        <f>IF(COUNTA(A92:D92)=0,"",IF(COUNTA(A92:D92)&lt;4,"Complete all four fields",IF(COUNTIFS(Catalog!$A$2:$A$405,A92,Catalog!$B$2:$B$405,B92,Catalog!$C$2:$C$405,C92)&lt;&gt;1,"Choose a valid combination",IF(NOT(ISNUMBER(D92)),"Enter a numeric quantity",IF(OR(D92&lt;1,D92&gt;100,D92&lt;&gt;INT(D92)),"Use a whole quantity 1-100",IF($B$6&gt;100,"Batch exceeds 100 clips","Ready"))))))</f>
        <v/>
      </c>
      <c r="F92" s="1"/>
      <c r="G92" s="1"/>
      <c r="H92" s="1"/>
    </row>
    <row r="93" spans="1:8" ht="24" customHeight="1">
      <c r="A93" s="4"/>
      <c r="B93" s="4"/>
      <c r="C93" s="4"/>
      <c r="D93" s="4"/>
      <c r="E93" s="1" t="str">
        <f>IF(COUNTA(A93:D93)=0,"",IF(COUNTA(A93:D93)&lt;4,"Complete all four fields",IF(COUNTIFS(Catalog!$A$2:$A$405,A93,Catalog!$B$2:$B$405,B93,Catalog!$C$2:$C$405,C93)&lt;&gt;1,"Choose a valid combination",IF(NOT(ISNUMBER(D93)),"Enter a numeric quantity",IF(OR(D93&lt;1,D93&gt;100,D93&lt;&gt;INT(D93)),"Use a whole quantity 1-100",IF($B$6&gt;100,"Batch exceeds 100 clips","Ready"))))))</f>
        <v/>
      </c>
      <c r="F93" s="1"/>
      <c r="G93" s="1"/>
      <c r="H93" s="1"/>
    </row>
    <row r="94" spans="1:8" ht="24" customHeight="1">
      <c r="A94" s="4"/>
      <c r="B94" s="4"/>
      <c r="C94" s="4"/>
      <c r="D94" s="4"/>
      <c r="E94" s="1" t="str">
        <f>IF(COUNTA(A94:D94)=0,"",IF(COUNTA(A94:D94)&lt;4,"Complete all four fields",IF(COUNTIFS(Catalog!$A$2:$A$405,A94,Catalog!$B$2:$B$405,B94,Catalog!$C$2:$C$405,C94)&lt;&gt;1,"Choose a valid combination",IF(NOT(ISNUMBER(D94)),"Enter a numeric quantity",IF(OR(D94&lt;1,D94&gt;100,D94&lt;&gt;INT(D94)),"Use a whole quantity 1-100",IF($B$6&gt;100,"Batch exceeds 100 clips","Ready"))))))</f>
        <v/>
      </c>
      <c r="F94" s="1"/>
      <c r="G94" s="1"/>
      <c r="H94" s="1"/>
    </row>
    <row r="95" spans="1:8" ht="24" customHeight="1">
      <c r="A95" s="4"/>
      <c r="B95" s="4"/>
      <c r="C95" s="4"/>
      <c r="D95" s="4"/>
      <c r="E95" s="1" t="str">
        <f>IF(COUNTA(A95:D95)=0,"",IF(COUNTA(A95:D95)&lt;4,"Complete all four fields",IF(COUNTIFS(Catalog!$A$2:$A$405,A95,Catalog!$B$2:$B$405,B95,Catalog!$C$2:$C$405,C95)&lt;&gt;1,"Choose a valid combination",IF(NOT(ISNUMBER(D95)),"Enter a numeric quantity",IF(OR(D95&lt;1,D95&gt;100,D95&lt;&gt;INT(D95)),"Use a whole quantity 1-100",IF($B$6&gt;100,"Batch exceeds 100 clips","Ready"))))))</f>
        <v/>
      </c>
      <c r="F95" s="1"/>
      <c r="G95" s="1"/>
      <c r="H95" s="1"/>
    </row>
    <row r="96" spans="1:8" ht="24" customHeight="1">
      <c r="A96" s="4"/>
      <c r="B96" s="4"/>
      <c r="C96" s="4"/>
      <c r="D96" s="4"/>
      <c r="E96" s="1" t="str">
        <f>IF(COUNTA(A96:D96)=0,"",IF(COUNTA(A96:D96)&lt;4,"Complete all four fields",IF(COUNTIFS(Catalog!$A$2:$A$405,A96,Catalog!$B$2:$B$405,B96,Catalog!$C$2:$C$405,C96)&lt;&gt;1,"Choose a valid combination",IF(NOT(ISNUMBER(D96)),"Enter a numeric quantity",IF(OR(D96&lt;1,D96&gt;100,D96&lt;&gt;INT(D96)),"Use a whole quantity 1-100",IF($B$6&gt;100,"Batch exceeds 100 clips","Ready"))))))</f>
        <v/>
      </c>
      <c r="F96" s="1"/>
      <c r="G96" s="1"/>
      <c r="H96" s="1"/>
    </row>
    <row r="97" spans="1:8" ht="24" customHeight="1">
      <c r="A97" s="4"/>
      <c r="B97" s="4"/>
      <c r="C97" s="4"/>
      <c r="D97" s="4"/>
      <c r="E97" s="1" t="str">
        <f>IF(COUNTA(A97:D97)=0,"",IF(COUNTA(A97:D97)&lt;4,"Complete all four fields",IF(COUNTIFS(Catalog!$A$2:$A$405,A97,Catalog!$B$2:$B$405,B97,Catalog!$C$2:$C$405,C97)&lt;&gt;1,"Choose a valid combination",IF(NOT(ISNUMBER(D97)),"Enter a numeric quantity",IF(OR(D97&lt;1,D97&gt;100,D97&lt;&gt;INT(D97)),"Use a whole quantity 1-100",IF($B$6&gt;100,"Batch exceeds 100 clips","Ready"))))))</f>
        <v/>
      </c>
      <c r="F97" s="1"/>
      <c r="G97" s="1"/>
      <c r="H97" s="1"/>
    </row>
    <row r="98" spans="1:8" ht="24" customHeight="1">
      <c r="A98" s="4"/>
      <c r="B98" s="4"/>
      <c r="C98" s="4"/>
      <c r="D98" s="4"/>
      <c r="E98" s="1" t="str">
        <f>IF(COUNTA(A98:D98)=0,"",IF(COUNTA(A98:D98)&lt;4,"Complete all four fields",IF(COUNTIFS(Catalog!$A$2:$A$405,A98,Catalog!$B$2:$B$405,B98,Catalog!$C$2:$C$405,C98)&lt;&gt;1,"Choose a valid combination",IF(NOT(ISNUMBER(D98)),"Enter a numeric quantity",IF(OR(D98&lt;1,D98&gt;100,D98&lt;&gt;INT(D98)),"Use a whole quantity 1-100",IF($B$6&gt;100,"Batch exceeds 100 clips","Ready"))))))</f>
        <v/>
      </c>
      <c r="F98" s="1"/>
      <c r="G98" s="1"/>
      <c r="H98" s="1"/>
    </row>
    <row r="99" spans="1:8" ht="24" customHeight="1">
      <c r="A99" s="4"/>
      <c r="B99" s="4"/>
      <c r="C99" s="4"/>
      <c r="D99" s="4"/>
      <c r="E99" s="1" t="str">
        <f>IF(COUNTA(A99:D99)=0,"",IF(COUNTA(A99:D99)&lt;4,"Complete all four fields",IF(COUNTIFS(Catalog!$A$2:$A$405,A99,Catalog!$B$2:$B$405,B99,Catalog!$C$2:$C$405,C99)&lt;&gt;1,"Choose a valid combination",IF(NOT(ISNUMBER(D99)),"Enter a numeric quantity",IF(OR(D99&lt;1,D99&gt;100,D99&lt;&gt;INT(D99)),"Use a whole quantity 1-100",IF($B$6&gt;100,"Batch exceeds 100 clips","Ready"))))))</f>
        <v/>
      </c>
      <c r="F99" s="1"/>
      <c r="G99" s="1"/>
      <c r="H99" s="1"/>
    </row>
    <row r="100" spans="1:8" ht="24" customHeight="1">
      <c r="A100" s="4"/>
      <c r="B100" s="4"/>
      <c r="C100" s="4"/>
      <c r="D100" s="4"/>
      <c r="E100" s="1" t="str">
        <f>IF(COUNTA(A100:D100)=0,"",IF(COUNTA(A100:D100)&lt;4,"Complete all four fields",IF(COUNTIFS(Catalog!$A$2:$A$405,A100,Catalog!$B$2:$B$405,B100,Catalog!$C$2:$C$405,C100)&lt;&gt;1,"Choose a valid combination",IF(NOT(ISNUMBER(D100)),"Enter a numeric quantity",IF(OR(D100&lt;1,D100&gt;100,D100&lt;&gt;INT(D100)),"Use a whole quantity 1-100",IF($B$6&gt;100,"Batch exceeds 100 clips","Ready"))))))</f>
        <v/>
      </c>
      <c r="F100" s="1"/>
      <c r="G100" s="1"/>
      <c r="H100" s="1"/>
    </row>
    <row r="101" spans="1:8" ht="24" customHeight="1">
      <c r="A101" s="4"/>
      <c r="B101" s="4"/>
      <c r="C101" s="4"/>
      <c r="D101" s="4"/>
      <c r="E101" s="1" t="str">
        <f>IF(COUNTA(A101:D101)=0,"",IF(COUNTA(A101:D101)&lt;4,"Complete all four fields",IF(COUNTIFS(Catalog!$A$2:$A$405,A101,Catalog!$B$2:$B$405,B101,Catalog!$C$2:$C$405,C101)&lt;&gt;1,"Choose a valid combination",IF(NOT(ISNUMBER(D101)),"Enter a numeric quantity",IF(OR(D101&lt;1,D101&gt;100,D101&lt;&gt;INT(D101)),"Use a whole quantity 1-100",IF($B$6&gt;100,"Batch exceeds 100 clips","Ready"))))))</f>
        <v/>
      </c>
      <c r="F101" s="1"/>
      <c r="G101" s="1"/>
      <c r="H101" s="1"/>
    </row>
    <row r="102" spans="1:8" ht="24" customHeight="1">
      <c r="A102" s="4"/>
      <c r="B102" s="4"/>
      <c r="C102" s="4"/>
      <c r="D102" s="4"/>
      <c r="E102" s="1" t="str">
        <f>IF(COUNTA(A102:D102)=0,"",IF(COUNTA(A102:D102)&lt;4,"Complete all four fields",IF(COUNTIFS(Catalog!$A$2:$A$405,A102,Catalog!$B$2:$B$405,B102,Catalog!$C$2:$C$405,C102)&lt;&gt;1,"Choose a valid combination",IF(NOT(ISNUMBER(D102)),"Enter a numeric quantity",IF(OR(D102&lt;1,D102&gt;100,D102&lt;&gt;INT(D102)),"Use a whole quantity 1-100",IF($B$6&gt;100,"Batch exceeds 100 clips","Ready"))))))</f>
        <v/>
      </c>
      <c r="F102" s="1"/>
      <c r="G102" s="1"/>
      <c r="H102" s="1"/>
    </row>
    <row r="103" spans="1:8" ht="24" customHeight="1">
      <c r="A103" s="4"/>
      <c r="B103" s="4"/>
      <c r="C103" s="4"/>
      <c r="D103" s="4"/>
      <c r="E103" s="1" t="str">
        <f>IF(COUNTA(A103:D103)=0,"",IF(COUNTA(A103:D103)&lt;4,"Complete all four fields",IF(COUNTIFS(Catalog!$A$2:$A$405,A103,Catalog!$B$2:$B$405,B103,Catalog!$C$2:$C$405,C103)&lt;&gt;1,"Choose a valid combination",IF(NOT(ISNUMBER(D103)),"Enter a numeric quantity",IF(OR(D103&lt;1,D103&gt;100,D103&lt;&gt;INT(D103)),"Use a whole quantity 1-100",IF($B$6&gt;100,"Batch exceeds 100 clips","Ready"))))))</f>
        <v/>
      </c>
      <c r="F103" s="1"/>
      <c r="G103" s="1"/>
      <c r="H103" s="1"/>
    </row>
    <row r="104" spans="1:8" ht="24" customHeight="1">
      <c r="A104" s="4"/>
      <c r="B104" s="4"/>
      <c r="C104" s="4"/>
      <c r="D104" s="4"/>
      <c r="E104" s="1" t="str">
        <f>IF(COUNTA(A104:D104)=0,"",IF(COUNTA(A104:D104)&lt;4,"Complete all four fields",IF(COUNTIFS(Catalog!$A$2:$A$405,A104,Catalog!$B$2:$B$405,B104,Catalog!$C$2:$C$405,C104)&lt;&gt;1,"Choose a valid combination",IF(NOT(ISNUMBER(D104)),"Enter a numeric quantity",IF(OR(D104&lt;1,D104&gt;100,D104&lt;&gt;INT(D104)),"Use a whole quantity 1-100",IF($B$6&gt;100,"Batch exceeds 100 clips","Ready"))))))</f>
        <v/>
      </c>
      <c r="F104" s="1"/>
      <c r="G104" s="1"/>
      <c r="H104" s="1"/>
    </row>
    <row r="105" spans="1:8" ht="24" customHeight="1">
      <c r="A105" s="4"/>
      <c r="B105" s="4"/>
      <c r="C105" s="4"/>
      <c r="D105" s="4"/>
      <c r="E105" s="1" t="str">
        <f>IF(COUNTA(A105:D105)=0,"",IF(COUNTA(A105:D105)&lt;4,"Complete all four fields",IF(COUNTIFS(Catalog!$A$2:$A$405,A105,Catalog!$B$2:$B$405,B105,Catalog!$C$2:$C$405,C105)&lt;&gt;1,"Choose a valid combination",IF(NOT(ISNUMBER(D105)),"Enter a numeric quantity",IF(OR(D105&lt;1,D105&gt;100,D105&lt;&gt;INT(D105)),"Use a whole quantity 1-100",IF($B$6&gt;100,"Batch exceeds 100 clips","Ready"))))))</f>
        <v/>
      </c>
      <c r="F105" s="1"/>
      <c r="G105" s="1"/>
      <c r="H105" s="1"/>
    </row>
    <row r="106" spans="1:8" ht="24" customHeight="1">
      <c r="A106" s="4"/>
      <c r="B106" s="4"/>
      <c r="C106" s="4"/>
      <c r="D106" s="4"/>
      <c r="E106" s="1" t="str">
        <f>IF(COUNTA(A106:D106)=0,"",IF(COUNTA(A106:D106)&lt;4,"Complete all four fields",IF(COUNTIFS(Catalog!$A$2:$A$405,A106,Catalog!$B$2:$B$405,B106,Catalog!$C$2:$C$405,C106)&lt;&gt;1,"Choose a valid combination",IF(NOT(ISNUMBER(D106)),"Enter a numeric quantity",IF(OR(D106&lt;1,D106&gt;100,D106&lt;&gt;INT(D106)),"Use a whole quantity 1-100",IF($B$6&gt;100,"Batch exceeds 100 clips","Ready"))))))</f>
        <v/>
      </c>
      <c r="F106" s="1"/>
      <c r="G106" s="1"/>
      <c r="H106" s="1"/>
    </row>
    <row r="107" spans="1:8" ht="24" customHeight="1">
      <c r="A107" s="4"/>
      <c r="B107" s="4"/>
      <c r="C107" s="4"/>
      <c r="D107" s="4"/>
      <c r="E107" s="1" t="str">
        <f>IF(COUNTA(A107:D107)=0,"",IF(COUNTA(A107:D107)&lt;4,"Complete all four fields",IF(COUNTIFS(Catalog!$A$2:$A$405,A107,Catalog!$B$2:$B$405,B107,Catalog!$C$2:$C$405,C107)&lt;&gt;1,"Choose a valid combination",IF(NOT(ISNUMBER(D107)),"Enter a numeric quantity",IF(OR(D107&lt;1,D107&gt;100,D107&lt;&gt;INT(D107)),"Use a whole quantity 1-100",IF($B$6&gt;100,"Batch exceeds 100 clips","Ready"))))))</f>
        <v/>
      </c>
      <c r="F107" s="1"/>
      <c r="G107" s="1"/>
      <c r="H107" s="1"/>
    </row>
    <row r="108" spans="1:8" ht="24" customHeight="1">
      <c r="A108" s="4"/>
      <c r="B108" s="4"/>
      <c r="C108" s="4"/>
      <c r="D108" s="4"/>
      <c r="E108" s="1" t="str">
        <f>IF(COUNTA(A108:D108)=0,"",IF(COUNTA(A108:D108)&lt;4,"Complete all four fields",IF(COUNTIFS(Catalog!$A$2:$A$405,A108,Catalog!$B$2:$B$405,B108,Catalog!$C$2:$C$405,C108)&lt;&gt;1,"Choose a valid combination",IF(NOT(ISNUMBER(D108)),"Enter a numeric quantity",IF(OR(D108&lt;1,D108&gt;100,D108&lt;&gt;INT(D108)),"Use a whole quantity 1-100",IF($B$6&gt;100,"Batch exceeds 100 clips","Ready"))))))</f>
        <v/>
      </c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conditionalFormatting sqref="E9:E108">
    <cfRule type="containsText" dxfId="1" priority="1" operator="containsText" text="Ready"/>
    <cfRule type="expression" dxfId="0" priority="2">
      <formula>AND($E9&lt;&gt;"",$E9&lt;&gt;"Ready")</formula>
    </cfRule>
  </conditionalFormatting>
  <dataValidations count="4">
    <dataValidation type="list" allowBlank="1" showInputMessage="1" showErrorMessage="1" errorTitle="Choose a listed value" error="Use the dropdown list or enter a whole quantity from 1 to 100." sqref="A9:A108" xr:uid="{00000000-0002-0000-0000-000000000000}">
      <formula1>Manufacturers</formula1>
    </dataValidation>
    <dataValidation type="list" allowBlank="1" showInputMessage="1" showErrorMessage="1" errorTitle="Choose a listed value" error="Use the dropdown list or enter a whole quantity from 1 to 100." sqref="B9:B108" xr:uid="{00000000-0002-0000-0000-000001000000}">
      <formula1>INDIRECT(IF($A9="Bambu Lab","M_1",IF($A9="Cookiecad","M_2","EmptyList")))</formula1>
    </dataValidation>
    <dataValidation type="list" allowBlank="1" showInputMessage="1" showErrorMessage="1" errorTitle="Choose a listed value" error="Use the dropdown list or enter a whole quantity from 1 to 100." sqref="C9:C108" xr:uid="{00000000-0002-0000-0000-000002000000}">
      <formula1>INDIRECT(IFERROR(VLOOKUP($A9&amp;"|"&amp;$B9,TypeLookup,2,FALSE),"EmptyList"))</formula1>
    </dataValidation>
    <dataValidation type="whole" allowBlank="1" showInputMessage="1" showErrorMessage="1" errorTitle="Choose a listed value" error="Use the dropdown list or enter a whole quantity from 1 to 100." sqref="D9:D108" xr:uid="{00000000-0002-0000-0000-000003000000}">
      <formula1>1</formula1>
      <formula2>100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05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65" customWidth="1"/>
    <col min="5" max="5" width="14" customWidth="1"/>
  </cols>
  <sheetData>
    <row r="1" spans="1:8" ht="15">
      <c r="A1" s="3" t="s">
        <v>18</v>
      </c>
      <c r="B1" s="3" t="s">
        <v>19</v>
      </c>
      <c r="C1" s="3" t="s">
        <v>20</v>
      </c>
      <c r="D1" s="5" t="s">
        <v>21</v>
      </c>
      <c r="E1" s="3" t="s">
        <v>22</v>
      </c>
      <c r="F1" s="1"/>
      <c r="G1" s="1"/>
      <c r="H1" s="1"/>
    </row>
    <row r="2" spans="1:8" ht="15">
      <c r="A2" s="1" t="s">
        <v>10</v>
      </c>
      <c r="B2" s="1" t="s">
        <v>23</v>
      </c>
      <c r="C2" s="1" t="s">
        <v>24</v>
      </c>
      <c r="D2" s="6" t="s">
        <v>25</v>
      </c>
      <c r="E2" s="1" t="s">
        <v>26</v>
      </c>
      <c r="F2" s="1"/>
      <c r="G2" s="1"/>
      <c r="H2" s="1"/>
    </row>
    <row r="3" spans="1:8" ht="15">
      <c r="A3" s="1" t="s">
        <v>10</v>
      </c>
      <c r="B3" s="1" t="s">
        <v>27</v>
      </c>
      <c r="C3" s="1" t="s">
        <v>28</v>
      </c>
      <c r="D3" s="6" t="s">
        <v>29</v>
      </c>
      <c r="E3" s="1" t="s">
        <v>30</v>
      </c>
      <c r="F3" s="1"/>
      <c r="G3" s="1"/>
      <c r="H3" s="1"/>
    </row>
    <row r="4" spans="1:8" ht="15">
      <c r="A4" s="1" t="s">
        <v>10</v>
      </c>
      <c r="B4" s="1" t="s">
        <v>27</v>
      </c>
      <c r="C4" s="1" t="s">
        <v>31</v>
      </c>
      <c r="D4" s="6" t="s">
        <v>29</v>
      </c>
      <c r="E4" s="1" t="s">
        <v>32</v>
      </c>
      <c r="F4" s="1"/>
      <c r="G4" s="1"/>
      <c r="H4" s="1"/>
    </row>
    <row r="5" spans="1:8" ht="15">
      <c r="A5" s="1" t="s">
        <v>10</v>
      </c>
      <c r="B5" s="1" t="s">
        <v>27</v>
      </c>
      <c r="C5" s="1" t="s">
        <v>12</v>
      </c>
      <c r="D5" s="6" t="s">
        <v>29</v>
      </c>
      <c r="E5" s="1" t="s">
        <v>33</v>
      </c>
      <c r="F5" s="1"/>
      <c r="G5" s="1"/>
      <c r="H5" s="1"/>
    </row>
    <row r="6" spans="1:8" ht="15">
      <c r="A6" s="1" t="s">
        <v>10</v>
      </c>
      <c r="B6" s="1" t="s">
        <v>27</v>
      </c>
      <c r="C6" s="1" t="s">
        <v>24</v>
      </c>
      <c r="D6" s="6" t="s">
        <v>29</v>
      </c>
      <c r="E6" s="1" t="s">
        <v>34</v>
      </c>
      <c r="F6" s="1"/>
      <c r="G6" s="1"/>
      <c r="H6" s="1"/>
    </row>
    <row r="7" spans="1:8" ht="15">
      <c r="A7" s="1" t="s">
        <v>10</v>
      </c>
      <c r="B7" s="1" t="s">
        <v>27</v>
      </c>
      <c r="C7" s="1" t="s">
        <v>35</v>
      </c>
      <c r="D7" s="6" t="s">
        <v>29</v>
      </c>
      <c r="E7" s="1" t="s">
        <v>36</v>
      </c>
      <c r="F7" s="1"/>
      <c r="G7" s="1"/>
      <c r="H7" s="1"/>
    </row>
    <row r="8" spans="1:8" ht="15">
      <c r="A8" s="1" t="s">
        <v>10</v>
      </c>
      <c r="B8" s="1" t="s">
        <v>27</v>
      </c>
      <c r="C8" s="1" t="s">
        <v>37</v>
      </c>
      <c r="D8" s="6" t="s">
        <v>29</v>
      </c>
      <c r="E8" s="1" t="s">
        <v>38</v>
      </c>
      <c r="F8" s="1"/>
      <c r="G8" s="1"/>
      <c r="H8" s="1"/>
    </row>
    <row r="9" spans="1:8" ht="15">
      <c r="A9" s="1" t="s">
        <v>10</v>
      </c>
      <c r="B9" s="1" t="s">
        <v>27</v>
      </c>
      <c r="C9" s="1" t="s">
        <v>39</v>
      </c>
      <c r="D9" s="6" t="s">
        <v>29</v>
      </c>
      <c r="E9" s="1" t="s">
        <v>40</v>
      </c>
      <c r="F9" s="1"/>
      <c r="G9" s="1"/>
      <c r="H9" s="1"/>
    </row>
    <row r="10" spans="1:8" ht="15">
      <c r="A10" s="1" t="s">
        <v>10</v>
      </c>
      <c r="B10" s="1" t="s">
        <v>27</v>
      </c>
      <c r="C10" s="1" t="s">
        <v>41</v>
      </c>
      <c r="D10" s="6" t="s">
        <v>29</v>
      </c>
      <c r="E10" s="1" t="s">
        <v>42</v>
      </c>
      <c r="F10" s="1"/>
      <c r="G10" s="1"/>
      <c r="H10" s="1"/>
    </row>
    <row r="11" spans="1:8" ht="15">
      <c r="A11" s="1" t="s">
        <v>10</v>
      </c>
      <c r="B11" s="1" t="s">
        <v>27</v>
      </c>
      <c r="C11" s="1" t="s">
        <v>43</v>
      </c>
      <c r="D11" s="6" t="s">
        <v>29</v>
      </c>
      <c r="E11" s="1" t="s">
        <v>44</v>
      </c>
      <c r="F11" s="1"/>
      <c r="G11" s="1"/>
      <c r="H11" s="1"/>
    </row>
    <row r="12" spans="1:8" ht="15">
      <c r="A12" s="1" t="s">
        <v>10</v>
      </c>
      <c r="B12" s="1" t="s">
        <v>27</v>
      </c>
      <c r="C12" s="1" t="s">
        <v>45</v>
      </c>
      <c r="D12" s="6" t="s">
        <v>29</v>
      </c>
      <c r="E12" s="1" t="s">
        <v>46</v>
      </c>
      <c r="F12" s="1"/>
      <c r="G12" s="1"/>
      <c r="H12" s="1"/>
    </row>
    <row r="13" spans="1:8" ht="15">
      <c r="A13" s="1" t="s">
        <v>10</v>
      </c>
      <c r="B13" s="1" t="s">
        <v>27</v>
      </c>
      <c r="C13" s="1" t="s">
        <v>47</v>
      </c>
      <c r="D13" s="6" t="s">
        <v>29</v>
      </c>
      <c r="E13" s="1" t="s">
        <v>48</v>
      </c>
      <c r="F13" s="1"/>
      <c r="G13" s="1"/>
      <c r="H13" s="1"/>
    </row>
    <row r="14" spans="1:8" ht="15">
      <c r="A14" s="1" t="s">
        <v>10</v>
      </c>
      <c r="B14" s="1" t="s">
        <v>49</v>
      </c>
      <c r="C14" s="1" t="s">
        <v>12</v>
      </c>
      <c r="D14" s="6" t="s">
        <v>50</v>
      </c>
      <c r="E14" s="1" t="s">
        <v>33</v>
      </c>
      <c r="F14" s="1"/>
      <c r="G14" s="1"/>
      <c r="H14" s="1"/>
    </row>
    <row r="15" spans="1:8" ht="15">
      <c r="A15" s="1" t="s">
        <v>10</v>
      </c>
      <c r="B15" s="1" t="s">
        <v>49</v>
      </c>
      <c r="C15" s="1" t="s">
        <v>24</v>
      </c>
      <c r="D15" s="6" t="s">
        <v>50</v>
      </c>
      <c r="E15" s="1" t="s">
        <v>51</v>
      </c>
      <c r="F15" s="1"/>
      <c r="G15" s="1"/>
      <c r="H15" s="1"/>
    </row>
    <row r="16" spans="1:8" ht="15">
      <c r="A16" s="1" t="s">
        <v>10</v>
      </c>
      <c r="B16" s="1" t="s">
        <v>49</v>
      </c>
      <c r="C16" s="1" t="s">
        <v>52</v>
      </c>
      <c r="D16" s="6" t="s">
        <v>50</v>
      </c>
      <c r="E16" s="1" t="s">
        <v>53</v>
      </c>
      <c r="F16" s="1"/>
      <c r="G16" s="1"/>
      <c r="H16" s="1"/>
    </row>
    <row r="17" spans="1:8" ht="15">
      <c r="A17" s="1" t="s">
        <v>10</v>
      </c>
      <c r="B17" s="1" t="s">
        <v>49</v>
      </c>
      <c r="C17" s="1" t="s">
        <v>39</v>
      </c>
      <c r="D17" s="6" t="s">
        <v>50</v>
      </c>
      <c r="E17" s="1" t="s">
        <v>54</v>
      </c>
      <c r="F17" s="1"/>
      <c r="G17" s="1"/>
      <c r="H17" s="1"/>
    </row>
    <row r="18" spans="1:8" ht="15">
      <c r="A18" s="1" t="s">
        <v>10</v>
      </c>
      <c r="B18" s="1" t="s">
        <v>49</v>
      </c>
      <c r="C18" s="1" t="s">
        <v>41</v>
      </c>
      <c r="D18" s="6" t="s">
        <v>50</v>
      </c>
      <c r="E18" s="1" t="s">
        <v>55</v>
      </c>
      <c r="F18" s="1"/>
      <c r="G18" s="1"/>
      <c r="H18" s="1"/>
    </row>
    <row r="19" spans="1:8" ht="15">
      <c r="A19" s="1" t="s">
        <v>10</v>
      </c>
      <c r="B19" s="1" t="s">
        <v>49</v>
      </c>
      <c r="C19" s="1" t="s">
        <v>47</v>
      </c>
      <c r="D19" s="6" t="s">
        <v>50</v>
      </c>
      <c r="E19" s="1" t="s">
        <v>48</v>
      </c>
      <c r="F19" s="1"/>
      <c r="G19" s="1"/>
      <c r="H19" s="1"/>
    </row>
    <row r="20" spans="1:8" ht="15">
      <c r="A20" s="1" t="s">
        <v>10</v>
      </c>
      <c r="B20" s="1" t="s">
        <v>56</v>
      </c>
      <c r="C20" s="1" t="s">
        <v>12</v>
      </c>
      <c r="D20" s="6" t="s">
        <v>57</v>
      </c>
      <c r="E20" s="1" t="s">
        <v>33</v>
      </c>
      <c r="F20" s="1"/>
      <c r="G20" s="1"/>
      <c r="H20" s="1"/>
    </row>
    <row r="21" spans="1:8" ht="15">
      <c r="A21" s="1" t="s">
        <v>10</v>
      </c>
      <c r="B21" s="1" t="s">
        <v>56</v>
      </c>
      <c r="C21" s="1" t="s">
        <v>24</v>
      </c>
      <c r="D21" s="6" t="s">
        <v>57</v>
      </c>
      <c r="E21" s="1" t="s">
        <v>58</v>
      </c>
      <c r="F21" s="1"/>
      <c r="G21" s="1"/>
      <c r="H21" s="1"/>
    </row>
    <row r="22" spans="1:8" ht="15">
      <c r="A22" s="1" t="s">
        <v>10</v>
      </c>
      <c r="B22" s="1" t="s">
        <v>56</v>
      </c>
      <c r="C22" s="1" t="s">
        <v>52</v>
      </c>
      <c r="D22" s="6" t="s">
        <v>57</v>
      </c>
      <c r="E22" s="1" t="s">
        <v>59</v>
      </c>
      <c r="F22" s="1"/>
      <c r="G22" s="1"/>
      <c r="H22" s="1"/>
    </row>
    <row r="23" spans="1:8" ht="15">
      <c r="A23" s="1" t="s">
        <v>10</v>
      </c>
      <c r="B23" s="1" t="s">
        <v>56</v>
      </c>
      <c r="C23" s="1" t="s">
        <v>60</v>
      </c>
      <c r="D23" s="6" t="s">
        <v>57</v>
      </c>
      <c r="E23" s="1" t="s">
        <v>61</v>
      </c>
      <c r="F23" s="1"/>
      <c r="G23" s="1"/>
      <c r="H23" s="1"/>
    </row>
    <row r="24" spans="1:8" ht="15">
      <c r="A24" s="1" t="s">
        <v>10</v>
      </c>
      <c r="B24" s="1" t="s">
        <v>56</v>
      </c>
      <c r="C24" s="1" t="s">
        <v>41</v>
      </c>
      <c r="D24" s="6" t="s">
        <v>57</v>
      </c>
      <c r="E24" s="1" t="s">
        <v>62</v>
      </c>
      <c r="F24" s="1"/>
      <c r="G24" s="1"/>
      <c r="H24" s="1"/>
    </row>
    <row r="25" spans="1:8" ht="15">
      <c r="A25" s="1" t="s">
        <v>10</v>
      </c>
      <c r="B25" s="1" t="s">
        <v>56</v>
      </c>
      <c r="C25" s="1" t="s">
        <v>47</v>
      </c>
      <c r="D25" s="6" t="s">
        <v>57</v>
      </c>
      <c r="E25" s="1" t="s">
        <v>63</v>
      </c>
      <c r="F25" s="1"/>
      <c r="G25" s="1"/>
      <c r="H25" s="1"/>
    </row>
    <row r="26" spans="1:8" ht="15">
      <c r="A26" s="1" t="s">
        <v>10</v>
      </c>
      <c r="B26" s="1" t="s">
        <v>64</v>
      </c>
      <c r="C26" s="1" t="s">
        <v>47</v>
      </c>
      <c r="D26" s="6" t="s">
        <v>65</v>
      </c>
      <c r="E26" s="1" t="s">
        <v>66</v>
      </c>
      <c r="F26" s="1"/>
      <c r="G26" s="1"/>
      <c r="H26" s="1"/>
    </row>
    <row r="27" spans="1:8" ht="15">
      <c r="A27" s="1" t="s">
        <v>10</v>
      </c>
      <c r="B27" s="1" t="s">
        <v>67</v>
      </c>
      <c r="C27" s="1" t="s">
        <v>12</v>
      </c>
      <c r="D27" s="6" t="s">
        <v>68</v>
      </c>
      <c r="E27" s="1" t="s">
        <v>33</v>
      </c>
      <c r="F27" s="1"/>
      <c r="G27" s="1"/>
      <c r="H27" s="1"/>
    </row>
    <row r="28" spans="1:8" ht="15">
      <c r="A28" s="1" t="s">
        <v>10</v>
      </c>
      <c r="B28" s="1" t="s">
        <v>69</v>
      </c>
      <c r="C28" s="1" t="s">
        <v>12</v>
      </c>
      <c r="D28" s="6" t="s">
        <v>70</v>
      </c>
      <c r="E28" s="1" t="s">
        <v>33</v>
      </c>
      <c r="F28" s="1"/>
      <c r="G28" s="1"/>
      <c r="H28" s="1"/>
    </row>
    <row r="29" spans="1:8" ht="15">
      <c r="A29" s="1" t="s">
        <v>10</v>
      </c>
      <c r="B29" s="1" t="s">
        <v>71</v>
      </c>
      <c r="C29" s="1" t="s">
        <v>12</v>
      </c>
      <c r="D29" s="6" t="s">
        <v>72</v>
      </c>
      <c r="E29" s="1" t="s">
        <v>33</v>
      </c>
      <c r="F29" s="1"/>
      <c r="G29" s="1"/>
      <c r="H29" s="1"/>
    </row>
    <row r="30" spans="1:8" ht="15">
      <c r="A30" s="1" t="s">
        <v>10</v>
      </c>
      <c r="B30" s="1" t="s">
        <v>71</v>
      </c>
      <c r="C30" s="1" t="s">
        <v>24</v>
      </c>
      <c r="D30" s="6" t="s">
        <v>72</v>
      </c>
      <c r="E30" s="1" t="s">
        <v>73</v>
      </c>
      <c r="F30" s="1"/>
      <c r="G30" s="1"/>
      <c r="H30" s="1"/>
    </row>
    <row r="31" spans="1:8" ht="15">
      <c r="A31" s="1" t="s">
        <v>10</v>
      </c>
      <c r="B31" s="1" t="s">
        <v>71</v>
      </c>
      <c r="C31" s="1" t="s">
        <v>52</v>
      </c>
      <c r="D31" s="6" t="s">
        <v>72</v>
      </c>
      <c r="E31" s="1" t="s">
        <v>74</v>
      </c>
      <c r="F31" s="1"/>
      <c r="G31" s="1"/>
      <c r="H31" s="1"/>
    </row>
    <row r="32" spans="1:8" ht="15">
      <c r="A32" s="1" t="s">
        <v>10</v>
      </c>
      <c r="B32" s="1" t="s">
        <v>71</v>
      </c>
      <c r="C32" s="1" t="s">
        <v>39</v>
      </c>
      <c r="D32" s="6" t="s">
        <v>72</v>
      </c>
      <c r="E32" s="1" t="s">
        <v>75</v>
      </c>
      <c r="F32" s="1"/>
      <c r="G32" s="1"/>
      <c r="H32" s="1"/>
    </row>
    <row r="33" spans="1:8" ht="15">
      <c r="A33" s="1" t="s">
        <v>10</v>
      </c>
      <c r="B33" s="1" t="s">
        <v>71</v>
      </c>
      <c r="C33" s="1" t="s">
        <v>47</v>
      </c>
      <c r="D33" s="6" t="s">
        <v>72</v>
      </c>
      <c r="E33" s="1" t="s">
        <v>76</v>
      </c>
      <c r="F33" s="1"/>
      <c r="G33" s="1"/>
      <c r="H33" s="1"/>
    </row>
    <row r="34" spans="1:8" ht="15">
      <c r="A34" s="1" t="s">
        <v>10</v>
      </c>
      <c r="B34" s="1" t="s">
        <v>77</v>
      </c>
      <c r="C34" s="1" t="s">
        <v>12</v>
      </c>
      <c r="D34" s="6" t="s">
        <v>78</v>
      </c>
      <c r="E34" s="1" t="s">
        <v>33</v>
      </c>
      <c r="F34" s="1"/>
      <c r="G34" s="1"/>
      <c r="H34" s="1"/>
    </row>
    <row r="35" spans="1:8" ht="15">
      <c r="A35" s="1" t="s">
        <v>10</v>
      </c>
      <c r="B35" s="1" t="s">
        <v>79</v>
      </c>
      <c r="C35" s="1" t="s">
        <v>12</v>
      </c>
      <c r="D35" s="6" t="s">
        <v>80</v>
      </c>
      <c r="E35" s="1" t="s">
        <v>33</v>
      </c>
      <c r="F35" s="1"/>
      <c r="G35" s="1"/>
      <c r="H35" s="1"/>
    </row>
    <row r="36" spans="1:8" ht="15">
      <c r="A36" s="1" t="s">
        <v>10</v>
      </c>
      <c r="B36" s="1" t="s">
        <v>79</v>
      </c>
      <c r="C36" s="1" t="s">
        <v>81</v>
      </c>
      <c r="D36" s="6" t="s">
        <v>80</v>
      </c>
      <c r="E36" s="1" t="s">
        <v>82</v>
      </c>
      <c r="F36" s="1"/>
      <c r="G36" s="1"/>
      <c r="H36" s="1"/>
    </row>
    <row r="37" spans="1:8" ht="15">
      <c r="A37" s="1" t="s">
        <v>10</v>
      </c>
      <c r="B37" s="1" t="s">
        <v>79</v>
      </c>
      <c r="C37" s="1" t="s">
        <v>83</v>
      </c>
      <c r="D37" s="6" t="s">
        <v>80</v>
      </c>
      <c r="E37" s="1" t="s">
        <v>48</v>
      </c>
      <c r="F37" s="1"/>
      <c r="G37" s="1"/>
      <c r="H37" s="1"/>
    </row>
    <row r="38" spans="1:8" ht="15">
      <c r="A38" s="1" t="s">
        <v>10</v>
      </c>
      <c r="B38" s="1" t="s">
        <v>79</v>
      </c>
      <c r="C38" s="1" t="s">
        <v>47</v>
      </c>
      <c r="D38" s="6" t="s">
        <v>80</v>
      </c>
      <c r="E38" s="1" t="s">
        <v>48</v>
      </c>
      <c r="F38" s="1"/>
      <c r="G38" s="1"/>
      <c r="H38" s="1"/>
    </row>
    <row r="39" spans="1:8" ht="15">
      <c r="A39" s="1" t="s">
        <v>10</v>
      </c>
      <c r="B39" s="1" t="s">
        <v>84</v>
      </c>
      <c r="C39" s="1" t="s">
        <v>12</v>
      </c>
      <c r="D39" s="6" t="s">
        <v>85</v>
      </c>
      <c r="E39" s="1" t="s">
        <v>33</v>
      </c>
      <c r="F39" s="1"/>
      <c r="G39" s="1"/>
      <c r="H39" s="1"/>
    </row>
    <row r="40" spans="1:8" ht="15">
      <c r="A40" s="1" t="s">
        <v>10</v>
      </c>
      <c r="B40" s="1" t="s">
        <v>84</v>
      </c>
      <c r="C40" s="1" t="s">
        <v>52</v>
      </c>
      <c r="D40" s="6" t="s">
        <v>85</v>
      </c>
      <c r="E40" s="1" t="s">
        <v>86</v>
      </c>
      <c r="F40" s="1"/>
      <c r="G40" s="1"/>
      <c r="H40" s="1"/>
    </row>
    <row r="41" spans="1:8" ht="15">
      <c r="A41" s="1" t="s">
        <v>10</v>
      </c>
      <c r="B41" s="1" t="s">
        <v>84</v>
      </c>
      <c r="C41" s="1" t="s">
        <v>47</v>
      </c>
      <c r="D41" s="6" t="s">
        <v>85</v>
      </c>
      <c r="E41" s="1" t="s">
        <v>48</v>
      </c>
      <c r="F41" s="1"/>
      <c r="G41" s="1"/>
      <c r="H41" s="1"/>
    </row>
    <row r="42" spans="1:8" ht="15">
      <c r="A42" s="1" t="s">
        <v>10</v>
      </c>
      <c r="B42" s="1" t="s">
        <v>87</v>
      </c>
      <c r="C42" s="1" t="s">
        <v>12</v>
      </c>
      <c r="D42" s="6" t="s">
        <v>88</v>
      </c>
      <c r="E42" s="1" t="s">
        <v>33</v>
      </c>
      <c r="F42" s="1"/>
      <c r="G42" s="1"/>
      <c r="H42" s="1"/>
    </row>
    <row r="43" spans="1:8" ht="15">
      <c r="A43" s="1" t="s">
        <v>10</v>
      </c>
      <c r="B43" s="1" t="s">
        <v>89</v>
      </c>
      <c r="C43" s="1" t="s">
        <v>12</v>
      </c>
      <c r="D43" s="6" t="s">
        <v>90</v>
      </c>
      <c r="E43" s="1" t="s">
        <v>33</v>
      </c>
      <c r="F43" s="1"/>
      <c r="G43" s="1"/>
      <c r="H43" s="1"/>
    </row>
    <row r="44" spans="1:8" ht="15">
      <c r="A44" s="1" t="s">
        <v>10</v>
      </c>
      <c r="B44" s="1" t="s">
        <v>89</v>
      </c>
      <c r="C44" s="1" t="s">
        <v>91</v>
      </c>
      <c r="D44" s="6" t="s">
        <v>90</v>
      </c>
      <c r="E44" s="1" t="s">
        <v>92</v>
      </c>
      <c r="F44" s="1"/>
      <c r="G44" s="1"/>
      <c r="H44" s="1"/>
    </row>
    <row r="45" spans="1:8" ht="15">
      <c r="A45" s="1" t="s">
        <v>10</v>
      </c>
      <c r="B45" s="1" t="s">
        <v>89</v>
      </c>
      <c r="C45" s="1" t="s">
        <v>93</v>
      </c>
      <c r="D45" s="6" t="s">
        <v>90</v>
      </c>
      <c r="E45" s="1" t="s">
        <v>94</v>
      </c>
      <c r="F45" s="1"/>
      <c r="G45" s="1"/>
      <c r="H45" s="1"/>
    </row>
    <row r="46" spans="1:8" ht="15">
      <c r="A46" s="1" t="s">
        <v>10</v>
      </c>
      <c r="B46" s="1" t="s">
        <v>89</v>
      </c>
      <c r="C46" s="1" t="s">
        <v>52</v>
      </c>
      <c r="D46" s="6" t="s">
        <v>90</v>
      </c>
      <c r="E46" s="1" t="s">
        <v>95</v>
      </c>
      <c r="F46" s="1"/>
      <c r="G46" s="1"/>
      <c r="H46" s="1"/>
    </row>
    <row r="47" spans="1:8" ht="15">
      <c r="A47" s="1" t="s">
        <v>10</v>
      </c>
      <c r="B47" s="1" t="s">
        <v>89</v>
      </c>
      <c r="C47" s="1" t="s">
        <v>60</v>
      </c>
      <c r="D47" s="6" t="s">
        <v>90</v>
      </c>
      <c r="E47" s="1" t="s">
        <v>96</v>
      </c>
      <c r="F47" s="1"/>
      <c r="G47" s="1"/>
      <c r="H47" s="1"/>
    </row>
    <row r="48" spans="1:8" ht="15">
      <c r="A48" s="1" t="s">
        <v>10</v>
      </c>
      <c r="B48" s="1" t="s">
        <v>89</v>
      </c>
      <c r="C48" s="1" t="s">
        <v>97</v>
      </c>
      <c r="D48" s="6" t="s">
        <v>90</v>
      </c>
      <c r="E48" s="1" t="s">
        <v>98</v>
      </c>
      <c r="F48" s="1"/>
      <c r="G48" s="1"/>
      <c r="H48" s="1"/>
    </row>
    <row r="49" spans="1:8" ht="15">
      <c r="A49" s="1" t="s">
        <v>10</v>
      </c>
      <c r="B49" s="1" t="s">
        <v>89</v>
      </c>
      <c r="C49" s="1" t="s">
        <v>35</v>
      </c>
      <c r="D49" s="6" t="s">
        <v>90</v>
      </c>
      <c r="E49" s="1" t="s">
        <v>99</v>
      </c>
      <c r="F49" s="1"/>
      <c r="G49" s="1"/>
      <c r="H49" s="1"/>
    </row>
    <row r="50" spans="1:8" ht="15">
      <c r="A50" s="1" t="s">
        <v>10</v>
      </c>
      <c r="B50" s="1" t="s">
        <v>89</v>
      </c>
      <c r="C50" s="1" t="s">
        <v>39</v>
      </c>
      <c r="D50" s="6" t="s">
        <v>90</v>
      </c>
      <c r="E50" s="1" t="s">
        <v>100</v>
      </c>
      <c r="F50" s="1"/>
      <c r="G50" s="1"/>
      <c r="H50" s="1"/>
    </row>
    <row r="51" spans="1:8" ht="15">
      <c r="A51" s="1" t="s">
        <v>10</v>
      </c>
      <c r="B51" s="1" t="s">
        <v>89</v>
      </c>
      <c r="C51" s="1" t="s">
        <v>101</v>
      </c>
      <c r="D51" s="6" t="s">
        <v>90</v>
      </c>
      <c r="E51" s="1" t="s">
        <v>102</v>
      </c>
      <c r="F51" s="1"/>
      <c r="G51" s="1"/>
      <c r="H51" s="1"/>
    </row>
    <row r="52" spans="1:8" ht="15">
      <c r="A52" s="1" t="s">
        <v>10</v>
      </c>
      <c r="B52" s="1" t="s">
        <v>89</v>
      </c>
      <c r="C52" s="1" t="s">
        <v>41</v>
      </c>
      <c r="D52" s="6" t="s">
        <v>90</v>
      </c>
      <c r="E52" s="1" t="s">
        <v>103</v>
      </c>
      <c r="F52" s="1"/>
      <c r="G52" s="1"/>
      <c r="H52" s="1"/>
    </row>
    <row r="53" spans="1:8" ht="15">
      <c r="A53" s="1" t="s">
        <v>10</v>
      </c>
      <c r="B53" s="1" t="s">
        <v>89</v>
      </c>
      <c r="C53" s="1" t="s">
        <v>104</v>
      </c>
      <c r="D53" s="6" t="s">
        <v>90</v>
      </c>
      <c r="E53" s="1" t="s">
        <v>105</v>
      </c>
      <c r="F53" s="1"/>
      <c r="G53" s="1"/>
      <c r="H53" s="1"/>
    </row>
    <row r="54" spans="1:8" ht="15">
      <c r="A54" s="1" t="s">
        <v>10</v>
      </c>
      <c r="B54" s="1" t="s">
        <v>89</v>
      </c>
      <c r="C54" s="1" t="s">
        <v>47</v>
      </c>
      <c r="D54" s="6" t="s">
        <v>90</v>
      </c>
      <c r="E54" s="1" t="s">
        <v>48</v>
      </c>
      <c r="F54" s="1"/>
      <c r="G54" s="1"/>
      <c r="H54" s="1"/>
    </row>
    <row r="55" spans="1:8" ht="15">
      <c r="A55" s="1" t="s">
        <v>10</v>
      </c>
      <c r="B55" s="1" t="s">
        <v>89</v>
      </c>
      <c r="C55" s="1" t="s">
        <v>106</v>
      </c>
      <c r="D55" s="6" t="s">
        <v>90</v>
      </c>
      <c r="E55" s="1" t="s">
        <v>107</v>
      </c>
      <c r="F55" s="1"/>
      <c r="G55" s="1"/>
      <c r="H55" s="1"/>
    </row>
    <row r="56" spans="1:8" ht="15">
      <c r="A56" s="1" t="s">
        <v>10</v>
      </c>
      <c r="B56" s="1" t="s">
        <v>108</v>
      </c>
      <c r="C56" s="1" t="s">
        <v>109</v>
      </c>
      <c r="D56" s="6" t="s">
        <v>110</v>
      </c>
      <c r="E56" s="1" t="s">
        <v>111</v>
      </c>
      <c r="F56" s="1"/>
      <c r="G56" s="1"/>
      <c r="H56" s="1"/>
    </row>
    <row r="57" spans="1:8" ht="15">
      <c r="A57" s="1" t="s">
        <v>10</v>
      </c>
      <c r="B57" s="1" t="s">
        <v>108</v>
      </c>
      <c r="C57" s="1" t="s">
        <v>112</v>
      </c>
      <c r="D57" s="6" t="s">
        <v>110</v>
      </c>
      <c r="E57" s="1" t="s">
        <v>113</v>
      </c>
      <c r="F57" s="1"/>
      <c r="G57" s="1"/>
      <c r="H57" s="1"/>
    </row>
    <row r="58" spans="1:8" ht="15">
      <c r="A58" s="1" t="s">
        <v>10</v>
      </c>
      <c r="B58" s="1" t="s">
        <v>108</v>
      </c>
      <c r="C58" s="1" t="s">
        <v>52</v>
      </c>
      <c r="D58" s="6" t="s">
        <v>110</v>
      </c>
      <c r="E58" s="1" t="s">
        <v>114</v>
      </c>
      <c r="F58" s="1"/>
      <c r="G58" s="1"/>
      <c r="H58" s="1"/>
    </row>
    <row r="59" spans="1:8" ht="15">
      <c r="A59" s="1" t="s">
        <v>10</v>
      </c>
      <c r="B59" s="1" t="s">
        <v>108</v>
      </c>
      <c r="C59" s="1" t="s">
        <v>115</v>
      </c>
      <c r="D59" s="6" t="s">
        <v>110</v>
      </c>
      <c r="E59" s="1" t="s">
        <v>116</v>
      </c>
      <c r="F59" s="1"/>
      <c r="G59" s="1"/>
      <c r="H59" s="1"/>
    </row>
    <row r="60" spans="1:8" ht="15">
      <c r="A60" s="1" t="s">
        <v>10</v>
      </c>
      <c r="B60" s="1" t="s">
        <v>108</v>
      </c>
      <c r="C60" s="1" t="s">
        <v>37</v>
      </c>
      <c r="D60" s="6" t="s">
        <v>110</v>
      </c>
      <c r="E60" s="1" t="s">
        <v>117</v>
      </c>
      <c r="F60" s="1"/>
      <c r="G60" s="1"/>
      <c r="H60" s="1"/>
    </row>
    <row r="61" spans="1:8" ht="15">
      <c r="A61" s="1" t="s">
        <v>10</v>
      </c>
      <c r="B61" s="1" t="s">
        <v>108</v>
      </c>
      <c r="C61" s="1" t="s">
        <v>39</v>
      </c>
      <c r="D61" s="6" t="s">
        <v>110</v>
      </c>
      <c r="E61" s="1" t="s">
        <v>118</v>
      </c>
      <c r="F61" s="1"/>
      <c r="G61" s="1"/>
      <c r="H61" s="1"/>
    </row>
    <row r="62" spans="1:8" ht="15">
      <c r="A62" s="1" t="s">
        <v>10</v>
      </c>
      <c r="B62" s="1" t="s">
        <v>108</v>
      </c>
      <c r="C62" s="1" t="s">
        <v>119</v>
      </c>
      <c r="D62" s="6" t="s">
        <v>110</v>
      </c>
      <c r="E62" s="1" t="s">
        <v>120</v>
      </c>
      <c r="F62" s="1"/>
      <c r="G62" s="1"/>
      <c r="H62" s="1"/>
    </row>
    <row r="63" spans="1:8" ht="15">
      <c r="A63" s="1" t="s">
        <v>10</v>
      </c>
      <c r="B63" s="1" t="s">
        <v>108</v>
      </c>
      <c r="C63" s="1" t="s">
        <v>121</v>
      </c>
      <c r="D63" s="6" t="s">
        <v>110</v>
      </c>
      <c r="E63" s="1" t="s">
        <v>122</v>
      </c>
      <c r="F63" s="1"/>
      <c r="G63" s="1"/>
      <c r="H63" s="1"/>
    </row>
    <row r="64" spans="1:8" ht="15">
      <c r="A64" s="1" t="s">
        <v>10</v>
      </c>
      <c r="B64" s="1" t="s">
        <v>108</v>
      </c>
      <c r="C64" s="1" t="s">
        <v>123</v>
      </c>
      <c r="D64" s="6" t="s">
        <v>110</v>
      </c>
      <c r="E64" s="1" t="s">
        <v>124</v>
      </c>
      <c r="F64" s="1"/>
      <c r="G64" s="1"/>
      <c r="H64" s="1"/>
    </row>
    <row r="65" spans="1:8" ht="15">
      <c r="A65" s="1" t="s">
        <v>10</v>
      </c>
      <c r="B65" s="1" t="s">
        <v>125</v>
      </c>
      <c r="C65" s="1" t="s">
        <v>12</v>
      </c>
      <c r="D65" s="6" t="s">
        <v>126</v>
      </c>
      <c r="E65" s="1" t="s">
        <v>33</v>
      </c>
      <c r="F65" s="1"/>
      <c r="G65" s="1"/>
      <c r="H65" s="1"/>
    </row>
    <row r="66" spans="1:8" ht="15">
      <c r="A66" s="1" t="s">
        <v>10</v>
      </c>
      <c r="B66" s="1" t="s">
        <v>125</v>
      </c>
      <c r="C66" s="1" t="s">
        <v>127</v>
      </c>
      <c r="D66" s="6" t="s">
        <v>126</v>
      </c>
      <c r="E66" s="1" t="s">
        <v>128</v>
      </c>
      <c r="F66" s="1"/>
      <c r="G66" s="1"/>
      <c r="H66" s="1"/>
    </row>
    <row r="67" spans="1:8" ht="15">
      <c r="A67" s="1" t="s">
        <v>10</v>
      </c>
      <c r="B67" s="1" t="s">
        <v>125</v>
      </c>
      <c r="C67" s="1" t="s">
        <v>129</v>
      </c>
      <c r="D67" s="6" t="s">
        <v>126</v>
      </c>
      <c r="E67" s="1" t="s">
        <v>130</v>
      </c>
      <c r="F67" s="1"/>
      <c r="G67" s="1"/>
      <c r="H67" s="1"/>
    </row>
    <row r="68" spans="1:8" ht="15">
      <c r="A68" s="1" t="s">
        <v>10</v>
      </c>
      <c r="B68" s="1" t="s">
        <v>125</v>
      </c>
      <c r="C68" s="1" t="s">
        <v>131</v>
      </c>
      <c r="D68" s="6" t="s">
        <v>126</v>
      </c>
      <c r="E68" s="1" t="s">
        <v>132</v>
      </c>
      <c r="F68" s="1"/>
      <c r="G68" s="1"/>
      <c r="H68" s="1"/>
    </row>
    <row r="69" spans="1:8" ht="15">
      <c r="A69" s="1" t="s">
        <v>10</v>
      </c>
      <c r="B69" s="1" t="s">
        <v>125</v>
      </c>
      <c r="C69" s="1" t="s">
        <v>133</v>
      </c>
      <c r="D69" s="6" t="s">
        <v>126</v>
      </c>
      <c r="E69" s="1" t="s">
        <v>134</v>
      </c>
      <c r="F69" s="1"/>
      <c r="G69" s="1"/>
      <c r="H69" s="1"/>
    </row>
    <row r="70" spans="1:8" ht="15">
      <c r="A70" s="1" t="s">
        <v>10</v>
      </c>
      <c r="B70" s="1" t="s">
        <v>125</v>
      </c>
      <c r="C70" s="1" t="s">
        <v>135</v>
      </c>
      <c r="D70" s="6" t="s">
        <v>126</v>
      </c>
      <c r="E70" s="1" t="s">
        <v>136</v>
      </c>
      <c r="F70" s="1"/>
      <c r="G70" s="1"/>
      <c r="H70" s="1"/>
    </row>
    <row r="71" spans="1:8" ht="15">
      <c r="A71" s="1" t="s">
        <v>10</v>
      </c>
      <c r="B71" s="1" t="s">
        <v>23</v>
      </c>
      <c r="C71" s="1" t="s">
        <v>12</v>
      </c>
      <c r="D71" s="6" t="s">
        <v>25</v>
      </c>
      <c r="E71" s="1" t="s">
        <v>33</v>
      </c>
      <c r="F71" s="1"/>
      <c r="G71" s="1"/>
      <c r="H71" s="1"/>
    </row>
    <row r="72" spans="1:8" ht="15">
      <c r="A72" s="1" t="s">
        <v>10</v>
      </c>
      <c r="B72" s="1" t="s">
        <v>23</v>
      </c>
      <c r="C72" s="1" t="s">
        <v>137</v>
      </c>
      <c r="D72" s="6" t="s">
        <v>25</v>
      </c>
      <c r="E72" s="1" t="s">
        <v>138</v>
      </c>
      <c r="F72" s="1"/>
      <c r="G72" s="1"/>
      <c r="H72" s="1"/>
    </row>
    <row r="73" spans="1:8" ht="15">
      <c r="A73" s="1" t="s">
        <v>10</v>
      </c>
      <c r="B73" s="1" t="s">
        <v>23</v>
      </c>
      <c r="C73" s="1" t="s">
        <v>139</v>
      </c>
      <c r="D73" s="6" t="s">
        <v>25</v>
      </c>
      <c r="E73" s="1" t="s">
        <v>140</v>
      </c>
      <c r="F73" s="1"/>
      <c r="G73" s="1"/>
      <c r="H73" s="1"/>
    </row>
    <row r="74" spans="1:8" ht="15">
      <c r="A74" s="1" t="s">
        <v>10</v>
      </c>
      <c r="B74" s="1" t="s">
        <v>23</v>
      </c>
      <c r="C74" s="1" t="s">
        <v>141</v>
      </c>
      <c r="D74" s="6" t="s">
        <v>25</v>
      </c>
      <c r="E74" s="1" t="s">
        <v>142</v>
      </c>
      <c r="F74" s="1"/>
      <c r="G74" s="1"/>
      <c r="H74" s="1"/>
    </row>
    <row r="75" spans="1:8" ht="15">
      <c r="A75" s="1" t="s">
        <v>10</v>
      </c>
      <c r="B75" s="1" t="s">
        <v>23</v>
      </c>
      <c r="C75" s="1" t="s">
        <v>52</v>
      </c>
      <c r="D75" s="6" t="s">
        <v>25</v>
      </c>
      <c r="E75" s="1" t="s">
        <v>143</v>
      </c>
      <c r="F75" s="1"/>
      <c r="G75" s="1"/>
      <c r="H75" s="1"/>
    </row>
    <row r="76" spans="1:8" ht="15">
      <c r="A76" s="1" t="s">
        <v>10</v>
      </c>
      <c r="B76" s="1" t="s">
        <v>23</v>
      </c>
      <c r="C76" s="1" t="s">
        <v>60</v>
      </c>
      <c r="D76" s="6" t="s">
        <v>25</v>
      </c>
      <c r="E76" s="1" t="s">
        <v>32</v>
      </c>
      <c r="F76" s="1"/>
      <c r="G76" s="1"/>
      <c r="H76" s="1"/>
    </row>
    <row r="77" spans="1:8" ht="15">
      <c r="A77" s="1" t="s">
        <v>10</v>
      </c>
      <c r="B77" s="1" t="s">
        <v>23</v>
      </c>
      <c r="C77" s="1" t="s">
        <v>144</v>
      </c>
      <c r="D77" s="6" t="s">
        <v>25</v>
      </c>
      <c r="E77" s="1" t="s">
        <v>145</v>
      </c>
      <c r="F77" s="1"/>
      <c r="G77" s="1"/>
      <c r="H77" s="1"/>
    </row>
    <row r="78" spans="1:8" ht="15">
      <c r="A78" s="1" t="s">
        <v>10</v>
      </c>
      <c r="B78" s="1" t="s">
        <v>23</v>
      </c>
      <c r="C78" s="1" t="s">
        <v>146</v>
      </c>
      <c r="D78" s="6" t="s">
        <v>25</v>
      </c>
      <c r="E78" s="1" t="s">
        <v>147</v>
      </c>
      <c r="F78" s="1"/>
      <c r="G78" s="1"/>
      <c r="H78" s="1"/>
    </row>
    <row r="79" spans="1:8" ht="15">
      <c r="A79" s="1" t="s">
        <v>10</v>
      </c>
      <c r="B79" s="1" t="s">
        <v>23</v>
      </c>
      <c r="C79" s="1" t="s">
        <v>39</v>
      </c>
      <c r="D79" s="6" t="s">
        <v>25</v>
      </c>
      <c r="E79" s="1" t="s">
        <v>148</v>
      </c>
      <c r="F79" s="1"/>
      <c r="G79" s="1"/>
      <c r="H79" s="1"/>
    </row>
    <row r="80" spans="1:8" ht="15">
      <c r="A80" s="1" t="s">
        <v>10</v>
      </c>
      <c r="B80" s="1" t="s">
        <v>23</v>
      </c>
      <c r="C80" s="1" t="s">
        <v>149</v>
      </c>
      <c r="D80" s="6" t="s">
        <v>25</v>
      </c>
      <c r="E80" s="1" t="s">
        <v>150</v>
      </c>
      <c r="F80" s="1"/>
      <c r="G80" s="1"/>
      <c r="H80" s="1"/>
    </row>
    <row r="81" spans="1:8" ht="15">
      <c r="A81" s="1" t="s">
        <v>10</v>
      </c>
      <c r="B81" s="1" t="s">
        <v>23</v>
      </c>
      <c r="C81" s="1" t="s">
        <v>41</v>
      </c>
      <c r="D81" s="6" t="s">
        <v>25</v>
      </c>
      <c r="E81" s="1" t="s">
        <v>151</v>
      </c>
      <c r="F81" s="1"/>
      <c r="G81" s="1"/>
      <c r="H81" s="1"/>
    </row>
    <row r="82" spans="1:8" ht="15">
      <c r="A82" s="1" t="s">
        <v>10</v>
      </c>
      <c r="B82" s="1" t="s">
        <v>23</v>
      </c>
      <c r="C82" s="1" t="s">
        <v>47</v>
      </c>
      <c r="D82" s="6" t="s">
        <v>25</v>
      </c>
      <c r="E82" s="1" t="s">
        <v>48</v>
      </c>
      <c r="F82" s="1"/>
      <c r="G82" s="1"/>
      <c r="H82" s="1"/>
    </row>
    <row r="83" spans="1:8" ht="15">
      <c r="A83" s="1" t="s">
        <v>10</v>
      </c>
      <c r="B83" s="1" t="s">
        <v>23</v>
      </c>
      <c r="C83" s="1" t="s">
        <v>106</v>
      </c>
      <c r="D83" s="6" t="s">
        <v>25</v>
      </c>
      <c r="E83" s="1" t="s">
        <v>152</v>
      </c>
      <c r="F83" s="1"/>
      <c r="G83" s="1"/>
      <c r="H83" s="1"/>
    </row>
    <row r="84" spans="1:8" ht="15">
      <c r="A84" s="1" t="s">
        <v>10</v>
      </c>
      <c r="B84" s="1" t="s">
        <v>153</v>
      </c>
      <c r="C84" s="1" t="s">
        <v>52</v>
      </c>
      <c r="D84" s="6" t="s">
        <v>154</v>
      </c>
      <c r="E84" s="1" t="s">
        <v>155</v>
      </c>
      <c r="F84" s="1"/>
      <c r="G84" s="1"/>
      <c r="H84" s="1"/>
    </row>
    <row r="85" spans="1:8" ht="15">
      <c r="A85" s="1" t="s">
        <v>10</v>
      </c>
      <c r="B85" s="1" t="s">
        <v>153</v>
      </c>
      <c r="C85" s="1" t="s">
        <v>47</v>
      </c>
      <c r="D85" s="6" t="s">
        <v>154</v>
      </c>
      <c r="E85" s="1" t="s">
        <v>48</v>
      </c>
      <c r="F85" s="1"/>
      <c r="G85" s="1"/>
      <c r="H85" s="1"/>
    </row>
    <row r="86" spans="1:8" ht="15">
      <c r="A86" s="1" t="s">
        <v>10</v>
      </c>
      <c r="B86" s="1" t="s">
        <v>11</v>
      </c>
      <c r="C86" s="1" t="s">
        <v>31</v>
      </c>
      <c r="D86" s="6" t="s">
        <v>156</v>
      </c>
      <c r="E86" s="1" t="s">
        <v>157</v>
      </c>
      <c r="F86" s="1"/>
      <c r="G86" s="1"/>
      <c r="H86" s="1"/>
    </row>
    <row r="87" spans="1:8" ht="15">
      <c r="A87" s="1" t="s">
        <v>10</v>
      </c>
      <c r="B87" s="1" t="s">
        <v>11</v>
      </c>
      <c r="C87" s="1" t="s">
        <v>158</v>
      </c>
      <c r="D87" s="6" t="s">
        <v>156</v>
      </c>
      <c r="E87" s="1" t="s">
        <v>159</v>
      </c>
      <c r="F87" s="1"/>
      <c r="G87" s="1"/>
      <c r="H87" s="1"/>
    </row>
    <row r="88" spans="1:8" ht="15">
      <c r="A88" s="1" t="s">
        <v>10</v>
      </c>
      <c r="B88" s="1" t="s">
        <v>11</v>
      </c>
      <c r="C88" s="1" t="s">
        <v>12</v>
      </c>
      <c r="D88" s="6" t="s">
        <v>156</v>
      </c>
      <c r="E88" s="1" t="s">
        <v>33</v>
      </c>
      <c r="F88" s="1"/>
      <c r="G88" s="1"/>
      <c r="H88" s="1"/>
    </row>
    <row r="89" spans="1:8" ht="15">
      <c r="A89" s="1" t="s">
        <v>10</v>
      </c>
      <c r="B89" s="1" t="s">
        <v>11</v>
      </c>
      <c r="C89" s="1" t="s">
        <v>24</v>
      </c>
      <c r="D89" s="6" t="s">
        <v>156</v>
      </c>
      <c r="E89" s="1" t="s">
        <v>160</v>
      </c>
      <c r="F89" s="1"/>
      <c r="G89" s="1"/>
      <c r="H89" s="1"/>
    </row>
    <row r="90" spans="1:8" ht="15">
      <c r="A90" s="1" t="s">
        <v>10</v>
      </c>
      <c r="B90" s="1" t="s">
        <v>11</v>
      </c>
      <c r="C90" s="1" t="s">
        <v>161</v>
      </c>
      <c r="D90" s="6" t="s">
        <v>156</v>
      </c>
      <c r="E90" s="1" t="s">
        <v>162</v>
      </c>
      <c r="F90" s="1"/>
      <c r="G90" s="1"/>
      <c r="H90" s="1"/>
    </row>
    <row r="91" spans="1:8" ht="15">
      <c r="A91" s="1" t="s">
        <v>10</v>
      </c>
      <c r="B91" s="1" t="s">
        <v>11</v>
      </c>
      <c r="C91" s="1" t="s">
        <v>163</v>
      </c>
      <c r="D91" s="6" t="s">
        <v>156</v>
      </c>
      <c r="E91" s="1" t="s">
        <v>164</v>
      </c>
      <c r="F91" s="1"/>
      <c r="G91" s="1"/>
      <c r="H91" s="1"/>
    </row>
    <row r="92" spans="1:8" ht="15">
      <c r="A92" s="1" t="s">
        <v>10</v>
      </c>
      <c r="B92" s="1" t="s">
        <v>11</v>
      </c>
      <c r="C92" s="1" t="s">
        <v>165</v>
      </c>
      <c r="D92" s="6" t="s">
        <v>156</v>
      </c>
      <c r="E92" s="1" t="s">
        <v>166</v>
      </c>
      <c r="F92" s="1"/>
      <c r="G92" s="1"/>
      <c r="H92" s="1"/>
    </row>
    <row r="93" spans="1:8" ht="15">
      <c r="A93" s="1" t="s">
        <v>10</v>
      </c>
      <c r="B93" s="1" t="s">
        <v>11</v>
      </c>
      <c r="C93" s="1" t="s">
        <v>109</v>
      </c>
      <c r="D93" s="6" t="s">
        <v>156</v>
      </c>
      <c r="E93" s="1" t="s">
        <v>167</v>
      </c>
      <c r="F93" s="1"/>
      <c r="G93" s="1"/>
      <c r="H93" s="1"/>
    </row>
    <row r="94" spans="1:8" ht="15">
      <c r="A94" s="1" t="s">
        <v>10</v>
      </c>
      <c r="B94" s="1" t="s">
        <v>11</v>
      </c>
      <c r="C94" s="1" t="s">
        <v>168</v>
      </c>
      <c r="D94" s="6" t="s">
        <v>156</v>
      </c>
      <c r="E94" s="1" t="s">
        <v>169</v>
      </c>
      <c r="F94" s="1"/>
      <c r="G94" s="1"/>
      <c r="H94" s="1"/>
    </row>
    <row r="95" spans="1:8" ht="15">
      <c r="A95" s="1" t="s">
        <v>10</v>
      </c>
      <c r="B95" s="1" t="s">
        <v>11</v>
      </c>
      <c r="C95" s="1" t="s">
        <v>170</v>
      </c>
      <c r="D95" s="6" t="s">
        <v>156</v>
      </c>
      <c r="E95" s="1" t="s">
        <v>171</v>
      </c>
      <c r="F95" s="1"/>
      <c r="G95" s="1"/>
      <c r="H95" s="1"/>
    </row>
    <row r="96" spans="1:8" ht="15">
      <c r="A96" s="1" t="s">
        <v>10</v>
      </c>
      <c r="B96" s="1" t="s">
        <v>11</v>
      </c>
      <c r="C96" s="1" t="s">
        <v>172</v>
      </c>
      <c r="D96" s="6" t="s">
        <v>156</v>
      </c>
      <c r="E96" s="1" t="s">
        <v>173</v>
      </c>
      <c r="F96" s="1"/>
      <c r="G96" s="1"/>
      <c r="H96" s="1"/>
    </row>
    <row r="97" spans="1:8" ht="15">
      <c r="A97" s="1" t="s">
        <v>10</v>
      </c>
      <c r="B97" s="1" t="s">
        <v>11</v>
      </c>
      <c r="C97" s="1" t="s">
        <v>139</v>
      </c>
      <c r="D97" s="6" t="s">
        <v>156</v>
      </c>
      <c r="E97" s="1" t="s">
        <v>174</v>
      </c>
      <c r="F97" s="1"/>
      <c r="G97" s="1"/>
      <c r="H97" s="1"/>
    </row>
    <row r="98" spans="1:8" ht="15">
      <c r="A98" s="1" t="s">
        <v>10</v>
      </c>
      <c r="B98" s="1" t="s">
        <v>11</v>
      </c>
      <c r="C98" s="1" t="s">
        <v>175</v>
      </c>
      <c r="D98" s="6" t="s">
        <v>156</v>
      </c>
      <c r="E98" s="1" t="s">
        <v>176</v>
      </c>
      <c r="F98" s="1"/>
      <c r="G98" s="1"/>
      <c r="H98" s="1"/>
    </row>
    <row r="99" spans="1:8" ht="15">
      <c r="A99" s="1" t="s">
        <v>10</v>
      </c>
      <c r="B99" s="1" t="s">
        <v>11</v>
      </c>
      <c r="C99" s="1" t="s">
        <v>52</v>
      </c>
      <c r="D99" s="6" t="s">
        <v>156</v>
      </c>
      <c r="E99" s="1" t="s">
        <v>177</v>
      </c>
      <c r="F99" s="1"/>
      <c r="G99" s="1"/>
      <c r="H99" s="1"/>
    </row>
    <row r="100" spans="1:8" ht="15">
      <c r="A100" s="1" t="s">
        <v>10</v>
      </c>
      <c r="B100" s="1" t="s">
        <v>11</v>
      </c>
      <c r="C100" s="1" t="s">
        <v>178</v>
      </c>
      <c r="D100" s="6" t="s">
        <v>156</v>
      </c>
      <c r="E100" s="1" t="s">
        <v>179</v>
      </c>
      <c r="F100" s="1"/>
      <c r="G100" s="1"/>
      <c r="H100" s="1"/>
    </row>
    <row r="101" spans="1:8" ht="15">
      <c r="A101" s="1" t="s">
        <v>10</v>
      </c>
      <c r="B101" s="1" t="s">
        <v>11</v>
      </c>
      <c r="C101" s="1" t="s">
        <v>180</v>
      </c>
      <c r="D101" s="6" t="s">
        <v>156</v>
      </c>
      <c r="E101" s="1" t="s">
        <v>181</v>
      </c>
      <c r="F101" s="1"/>
      <c r="G101" s="1"/>
      <c r="H101" s="1"/>
    </row>
    <row r="102" spans="1:8" ht="15">
      <c r="A102" s="1" t="s">
        <v>10</v>
      </c>
      <c r="B102" s="1" t="s">
        <v>11</v>
      </c>
      <c r="C102" s="1" t="s">
        <v>182</v>
      </c>
      <c r="D102" s="6" t="s">
        <v>156</v>
      </c>
      <c r="E102" s="1" t="s">
        <v>48</v>
      </c>
      <c r="F102" s="1"/>
      <c r="G102" s="1"/>
      <c r="H102" s="1"/>
    </row>
    <row r="103" spans="1:8" ht="15">
      <c r="A103" s="1" t="s">
        <v>10</v>
      </c>
      <c r="B103" s="1" t="s">
        <v>11</v>
      </c>
      <c r="C103" s="1" t="s">
        <v>183</v>
      </c>
      <c r="D103" s="6" t="s">
        <v>156</v>
      </c>
      <c r="E103" s="1" t="s">
        <v>184</v>
      </c>
      <c r="F103" s="1"/>
      <c r="G103" s="1"/>
      <c r="H103" s="1"/>
    </row>
    <row r="104" spans="1:8" ht="15">
      <c r="A104" s="1" t="s">
        <v>10</v>
      </c>
      <c r="B104" s="1" t="s">
        <v>11</v>
      </c>
      <c r="C104" s="1" t="s">
        <v>185</v>
      </c>
      <c r="D104" s="6" t="s">
        <v>156</v>
      </c>
      <c r="E104" s="1" t="s">
        <v>186</v>
      </c>
      <c r="F104" s="1"/>
      <c r="G104" s="1"/>
      <c r="H104" s="1"/>
    </row>
    <row r="105" spans="1:8" ht="15">
      <c r="A105" s="1" t="s">
        <v>10</v>
      </c>
      <c r="B105" s="1" t="s">
        <v>11</v>
      </c>
      <c r="C105" s="1" t="s">
        <v>187</v>
      </c>
      <c r="D105" s="6" t="s">
        <v>156</v>
      </c>
      <c r="E105" s="1" t="s">
        <v>188</v>
      </c>
      <c r="F105" s="1"/>
      <c r="G105" s="1"/>
      <c r="H105" s="1"/>
    </row>
    <row r="106" spans="1:8" ht="15">
      <c r="A106" s="1" t="s">
        <v>10</v>
      </c>
      <c r="B106" s="1" t="s">
        <v>11</v>
      </c>
      <c r="C106" s="1" t="s">
        <v>189</v>
      </c>
      <c r="D106" s="6" t="s">
        <v>156</v>
      </c>
      <c r="E106" s="1" t="s">
        <v>190</v>
      </c>
      <c r="F106" s="1"/>
      <c r="G106" s="1"/>
      <c r="H106" s="1"/>
    </row>
    <row r="107" spans="1:8" ht="15">
      <c r="A107" s="1" t="s">
        <v>10</v>
      </c>
      <c r="B107" s="1" t="s">
        <v>11</v>
      </c>
      <c r="C107" s="1" t="s">
        <v>39</v>
      </c>
      <c r="D107" s="6" t="s">
        <v>156</v>
      </c>
      <c r="E107" s="1" t="s">
        <v>40</v>
      </c>
      <c r="F107" s="1"/>
      <c r="G107" s="1"/>
      <c r="H107" s="1"/>
    </row>
    <row r="108" spans="1:8" ht="15">
      <c r="A108" s="1" t="s">
        <v>10</v>
      </c>
      <c r="B108" s="1" t="s">
        <v>11</v>
      </c>
      <c r="C108" s="1" t="s">
        <v>119</v>
      </c>
      <c r="D108" s="6" t="s">
        <v>156</v>
      </c>
      <c r="E108" s="1" t="s">
        <v>191</v>
      </c>
      <c r="F108" s="1"/>
      <c r="G108" s="1"/>
      <c r="H108" s="1"/>
    </row>
    <row r="109" spans="1:8" ht="15">
      <c r="A109" s="1" t="s">
        <v>10</v>
      </c>
      <c r="B109" s="1" t="s">
        <v>11</v>
      </c>
      <c r="C109" s="1" t="s">
        <v>192</v>
      </c>
      <c r="D109" s="6" t="s">
        <v>156</v>
      </c>
      <c r="E109" s="1" t="s">
        <v>193</v>
      </c>
      <c r="F109" s="1"/>
      <c r="G109" s="1"/>
      <c r="H109" s="1"/>
    </row>
    <row r="110" spans="1:8" ht="15">
      <c r="A110" s="1" t="s">
        <v>10</v>
      </c>
      <c r="B110" s="1" t="s">
        <v>11</v>
      </c>
      <c r="C110" s="1" t="s">
        <v>121</v>
      </c>
      <c r="D110" s="6" t="s">
        <v>156</v>
      </c>
      <c r="E110" s="1" t="s">
        <v>194</v>
      </c>
      <c r="F110" s="1"/>
      <c r="G110" s="1"/>
      <c r="H110" s="1"/>
    </row>
    <row r="111" spans="1:8" ht="15">
      <c r="A111" t="s">
        <v>10</v>
      </c>
      <c r="B111" t="s">
        <v>11</v>
      </c>
      <c r="C111" t="s">
        <v>41</v>
      </c>
      <c r="D111" s="7" t="s">
        <v>156</v>
      </c>
      <c r="E111" t="s">
        <v>195</v>
      </c>
    </row>
    <row r="112" spans="1:8" ht="15">
      <c r="A112" t="s">
        <v>10</v>
      </c>
      <c r="B112" t="s">
        <v>11</v>
      </c>
      <c r="C112" t="s">
        <v>43</v>
      </c>
      <c r="D112" s="7" t="s">
        <v>156</v>
      </c>
      <c r="E112" t="s">
        <v>196</v>
      </c>
    </row>
    <row r="113" spans="1:5" ht="15">
      <c r="A113" t="s">
        <v>10</v>
      </c>
      <c r="B113" t="s">
        <v>11</v>
      </c>
      <c r="C113" t="s">
        <v>197</v>
      </c>
      <c r="D113" s="7" t="s">
        <v>156</v>
      </c>
      <c r="E113" t="s">
        <v>198</v>
      </c>
    </row>
    <row r="114" spans="1:5" ht="15">
      <c r="A114" t="s">
        <v>10</v>
      </c>
      <c r="B114" t="s">
        <v>11</v>
      </c>
      <c r="C114" t="s">
        <v>199</v>
      </c>
      <c r="D114" s="7" t="s">
        <v>156</v>
      </c>
      <c r="E114" t="s">
        <v>200</v>
      </c>
    </row>
    <row r="115" spans="1:5" ht="15">
      <c r="A115" t="s">
        <v>10</v>
      </c>
      <c r="B115" t="s">
        <v>11</v>
      </c>
      <c r="C115" t="s">
        <v>106</v>
      </c>
      <c r="D115" s="7" t="s">
        <v>156</v>
      </c>
      <c r="E115" t="s">
        <v>201</v>
      </c>
    </row>
    <row r="116" spans="1:5" ht="15">
      <c r="A116" t="s">
        <v>10</v>
      </c>
      <c r="B116" t="s">
        <v>202</v>
      </c>
      <c r="C116" t="s">
        <v>203</v>
      </c>
      <c r="D116" s="7" t="s">
        <v>204</v>
      </c>
      <c r="E116" t="s">
        <v>205</v>
      </c>
    </row>
    <row r="117" spans="1:5" ht="15">
      <c r="A117" t="s">
        <v>10</v>
      </c>
      <c r="B117" t="s">
        <v>202</v>
      </c>
      <c r="C117" t="s">
        <v>206</v>
      </c>
      <c r="D117" s="7" t="s">
        <v>204</v>
      </c>
      <c r="E117" t="s">
        <v>207</v>
      </c>
    </row>
    <row r="118" spans="1:5" ht="15">
      <c r="A118" t="s">
        <v>10</v>
      </c>
      <c r="B118" t="s">
        <v>202</v>
      </c>
      <c r="C118" t="s">
        <v>208</v>
      </c>
      <c r="D118" s="7" t="s">
        <v>204</v>
      </c>
      <c r="E118" t="s">
        <v>209</v>
      </c>
    </row>
    <row r="119" spans="1:5" ht="15">
      <c r="A119" t="s">
        <v>10</v>
      </c>
      <c r="B119" t="s">
        <v>202</v>
      </c>
      <c r="C119" t="s">
        <v>210</v>
      </c>
      <c r="D119" s="7" t="s">
        <v>204</v>
      </c>
      <c r="E119" t="s">
        <v>211</v>
      </c>
    </row>
    <row r="120" spans="1:5" ht="15">
      <c r="A120" t="s">
        <v>10</v>
      </c>
      <c r="B120" t="s">
        <v>202</v>
      </c>
      <c r="C120" t="s">
        <v>212</v>
      </c>
      <c r="D120" s="7" t="s">
        <v>204</v>
      </c>
      <c r="E120" t="s">
        <v>213</v>
      </c>
    </row>
    <row r="121" spans="1:5" ht="15">
      <c r="A121" t="s">
        <v>10</v>
      </c>
      <c r="B121" t="s">
        <v>202</v>
      </c>
      <c r="C121" t="s">
        <v>214</v>
      </c>
      <c r="D121" s="7" t="s">
        <v>204</v>
      </c>
      <c r="E121" t="s">
        <v>215</v>
      </c>
    </row>
    <row r="122" spans="1:5" ht="15">
      <c r="A122" t="s">
        <v>10</v>
      </c>
      <c r="B122" t="s">
        <v>202</v>
      </c>
      <c r="C122" t="s">
        <v>216</v>
      </c>
      <c r="D122" s="7" t="s">
        <v>204</v>
      </c>
      <c r="E122" t="s">
        <v>217</v>
      </c>
    </row>
    <row r="123" spans="1:5" ht="15">
      <c r="A123" t="s">
        <v>10</v>
      </c>
      <c r="B123" t="s">
        <v>202</v>
      </c>
      <c r="C123" t="s">
        <v>218</v>
      </c>
      <c r="D123" s="7" t="s">
        <v>204</v>
      </c>
      <c r="E123" t="s">
        <v>219</v>
      </c>
    </row>
    <row r="124" spans="1:5" ht="15">
      <c r="A124" t="s">
        <v>10</v>
      </c>
      <c r="B124" t="s">
        <v>220</v>
      </c>
      <c r="C124" t="s">
        <v>109</v>
      </c>
      <c r="D124" s="7" t="s">
        <v>221</v>
      </c>
      <c r="E124" t="s">
        <v>222</v>
      </c>
    </row>
    <row r="125" spans="1:5" ht="15">
      <c r="A125" t="s">
        <v>10</v>
      </c>
      <c r="B125" t="s">
        <v>220</v>
      </c>
      <c r="C125" t="s">
        <v>60</v>
      </c>
      <c r="D125" s="7" t="s">
        <v>221</v>
      </c>
      <c r="E125" t="s">
        <v>223</v>
      </c>
    </row>
    <row r="126" spans="1:5" ht="15">
      <c r="A126" t="s">
        <v>10</v>
      </c>
      <c r="B126" t="s">
        <v>220</v>
      </c>
      <c r="C126" t="s">
        <v>224</v>
      </c>
      <c r="D126" s="7" t="s">
        <v>221</v>
      </c>
      <c r="E126" t="s">
        <v>225</v>
      </c>
    </row>
    <row r="127" spans="1:5" ht="15">
      <c r="A127" t="s">
        <v>10</v>
      </c>
      <c r="B127" t="s">
        <v>220</v>
      </c>
      <c r="C127" t="s">
        <v>121</v>
      </c>
      <c r="D127" s="7" t="s">
        <v>221</v>
      </c>
      <c r="E127" t="s">
        <v>226</v>
      </c>
    </row>
    <row r="128" spans="1:5" ht="15">
      <c r="A128" t="s">
        <v>10</v>
      </c>
      <c r="B128" t="s">
        <v>227</v>
      </c>
      <c r="C128" t="s">
        <v>228</v>
      </c>
      <c r="D128" s="7" t="s">
        <v>229</v>
      </c>
      <c r="E128" t="s">
        <v>230</v>
      </c>
    </row>
    <row r="129" spans="1:5" ht="15">
      <c r="A129" t="s">
        <v>10</v>
      </c>
      <c r="B129" t="s">
        <v>227</v>
      </c>
      <c r="C129" t="s">
        <v>231</v>
      </c>
      <c r="D129" s="7" t="s">
        <v>229</v>
      </c>
      <c r="E129" t="s">
        <v>232</v>
      </c>
    </row>
    <row r="130" spans="1:5" ht="15">
      <c r="A130" t="s">
        <v>10</v>
      </c>
      <c r="B130" t="s">
        <v>227</v>
      </c>
      <c r="C130" t="s">
        <v>233</v>
      </c>
      <c r="D130" s="7" t="s">
        <v>229</v>
      </c>
      <c r="E130" t="s">
        <v>234</v>
      </c>
    </row>
    <row r="131" spans="1:5" ht="15">
      <c r="A131" t="s">
        <v>10</v>
      </c>
      <c r="B131" t="s">
        <v>227</v>
      </c>
      <c r="C131" t="s">
        <v>235</v>
      </c>
      <c r="D131" s="7" t="s">
        <v>229</v>
      </c>
      <c r="E131" t="s">
        <v>236</v>
      </c>
    </row>
    <row r="132" spans="1:5" ht="15">
      <c r="A132" t="s">
        <v>10</v>
      </c>
      <c r="B132" t="s">
        <v>227</v>
      </c>
      <c r="C132" t="s">
        <v>237</v>
      </c>
      <c r="D132" s="7" t="s">
        <v>229</v>
      </c>
      <c r="E132" t="s">
        <v>238</v>
      </c>
    </row>
    <row r="133" spans="1:5" ht="15">
      <c r="A133" t="s">
        <v>10</v>
      </c>
      <c r="B133" t="s">
        <v>239</v>
      </c>
      <c r="C133" t="s">
        <v>240</v>
      </c>
      <c r="D133" s="7" t="s">
        <v>241</v>
      </c>
      <c r="E133" t="s">
        <v>242</v>
      </c>
    </row>
    <row r="134" spans="1:5" ht="15">
      <c r="A134" t="s">
        <v>10</v>
      </c>
      <c r="B134" t="s">
        <v>239</v>
      </c>
      <c r="C134" t="s">
        <v>243</v>
      </c>
      <c r="D134" s="7" t="s">
        <v>241</v>
      </c>
      <c r="E134" t="s">
        <v>244</v>
      </c>
    </row>
    <row r="135" spans="1:5" ht="15">
      <c r="A135" t="s">
        <v>10</v>
      </c>
      <c r="B135" t="s">
        <v>16</v>
      </c>
      <c r="C135" t="s">
        <v>245</v>
      </c>
      <c r="D135" s="7" t="s">
        <v>246</v>
      </c>
      <c r="E135" t="s">
        <v>247</v>
      </c>
    </row>
    <row r="136" spans="1:5" ht="15">
      <c r="A136" t="s">
        <v>10</v>
      </c>
      <c r="B136" t="s">
        <v>16</v>
      </c>
      <c r="C136" t="s">
        <v>248</v>
      </c>
      <c r="D136" s="7" t="s">
        <v>246</v>
      </c>
      <c r="E136" t="s">
        <v>249</v>
      </c>
    </row>
    <row r="137" spans="1:5" ht="15">
      <c r="A137" t="s">
        <v>10</v>
      </c>
      <c r="B137" t="s">
        <v>16</v>
      </c>
      <c r="C137" t="s">
        <v>250</v>
      </c>
      <c r="D137" s="7" t="s">
        <v>246</v>
      </c>
      <c r="E137" t="s">
        <v>251</v>
      </c>
    </row>
    <row r="138" spans="1:5" ht="15">
      <c r="A138" t="s">
        <v>10</v>
      </c>
      <c r="B138" t="s">
        <v>16</v>
      </c>
      <c r="C138" t="s">
        <v>252</v>
      </c>
      <c r="D138" s="7" t="s">
        <v>246</v>
      </c>
      <c r="E138" t="s">
        <v>253</v>
      </c>
    </row>
    <row r="139" spans="1:5" ht="15">
      <c r="A139" t="s">
        <v>10</v>
      </c>
      <c r="B139" t="s">
        <v>16</v>
      </c>
      <c r="C139" t="s">
        <v>17</v>
      </c>
      <c r="D139" s="7" t="s">
        <v>246</v>
      </c>
      <c r="E139" t="s">
        <v>33</v>
      </c>
    </row>
    <row r="140" spans="1:5" ht="15">
      <c r="A140" t="s">
        <v>10</v>
      </c>
      <c r="B140" t="s">
        <v>16</v>
      </c>
      <c r="C140" t="s">
        <v>254</v>
      </c>
      <c r="D140" s="7" t="s">
        <v>246</v>
      </c>
      <c r="E140" t="s">
        <v>255</v>
      </c>
    </row>
    <row r="141" spans="1:5" ht="15">
      <c r="A141" t="s">
        <v>10</v>
      </c>
      <c r="B141" t="s">
        <v>16</v>
      </c>
      <c r="C141" t="s">
        <v>93</v>
      </c>
      <c r="D141" s="7" t="s">
        <v>246</v>
      </c>
      <c r="E141" t="s">
        <v>256</v>
      </c>
    </row>
    <row r="142" spans="1:5" ht="15">
      <c r="A142" t="s">
        <v>10</v>
      </c>
      <c r="B142" t="s">
        <v>16</v>
      </c>
      <c r="C142" t="s">
        <v>257</v>
      </c>
      <c r="D142" s="7" t="s">
        <v>246</v>
      </c>
      <c r="E142" t="s">
        <v>258</v>
      </c>
    </row>
    <row r="143" spans="1:5" ht="15">
      <c r="A143" t="s">
        <v>10</v>
      </c>
      <c r="B143" t="s">
        <v>16</v>
      </c>
      <c r="C143" t="s">
        <v>259</v>
      </c>
      <c r="D143" s="7" t="s">
        <v>246</v>
      </c>
      <c r="E143" t="s">
        <v>260</v>
      </c>
    </row>
    <row r="144" spans="1:5" ht="15">
      <c r="A144" t="s">
        <v>10</v>
      </c>
      <c r="B144" t="s">
        <v>16</v>
      </c>
      <c r="C144" t="s">
        <v>261</v>
      </c>
      <c r="D144" s="7" t="s">
        <v>246</v>
      </c>
      <c r="E144" t="s">
        <v>262</v>
      </c>
    </row>
    <row r="145" spans="1:5" ht="15">
      <c r="A145" t="s">
        <v>10</v>
      </c>
      <c r="B145" t="s">
        <v>16</v>
      </c>
      <c r="C145" t="s">
        <v>263</v>
      </c>
      <c r="D145" s="7" t="s">
        <v>246</v>
      </c>
      <c r="E145" t="s">
        <v>264</v>
      </c>
    </row>
    <row r="146" spans="1:5" ht="15">
      <c r="A146" t="s">
        <v>10</v>
      </c>
      <c r="B146" t="s">
        <v>16</v>
      </c>
      <c r="C146" t="s">
        <v>265</v>
      </c>
      <c r="D146" s="7" t="s">
        <v>246</v>
      </c>
      <c r="E146" t="s">
        <v>266</v>
      </c>
    </row>
    <row r="147" spans="1:5" ht="15">
      <c r="A147" t="s">
        <v>10</v>
      </c>
      <c r="B147" t="s">
        <v>16</v>
      </c>
      <c r="C147" t="s">
        <v>267</v>
      </c>
      <c r="D147" s="7" t="s">
        <v>246</v>
      </c>
      <c r="E147" t="s">
        <v>268</v>
      </c>
    </row>
    <row r="148" spans="1:5" ht="15">
      <c r="A148" t="s">
        <v>10</v>
      </c>
      <c r="B148" t="s">
        <v>16</v>
      </c>
      <c r="C148" t="s">
        <v>269</v>
      </c>
      <c r="D148" s="7" t="s">
        <v>246</v>
      </c>
      <c r="E148" t="s">
        <v>48</v>
      </c>
    </row>
    <row r="149" spans="1:5" ht="15">
      <c r="A149" t="s">
        <v>10</v>
      </c>
      <c r="B149" t="s">
        <v>16</v>
      </c>
      <c r="C149" t="s">
        <v>270</v>
      </c>
      <c r="D149" s="7" t="s">
        <v>246</v>
      </c>
      <c r="E149" t="s">
        <v>271</v>
      </c>
    </row>
    <row r="150" spans="1:5" ht="15">
      <c r="A150" t="s">
        <v>10</v>
      </c>
      <c r="B150" t="s">
        <v>16</v>
      </c>
      <c r="C150" t="s">
        <v>272</v>
      </c>
      <c r="D150" s="7" t="s">
        <v>246</v>
      </c>
      <c r="E150" t="s">
        <v>273</v>
      </c>
    </row>
    <row r="151" spans="1:5" ht="15">
      <c r="A151" t="s">
        <v>10</v>
      </c>
      <c r="B151" t="s">
        <v>16</v>
      </c>
      <c r="C151" t="s">
        <v>274</v>
      </c>
      <c r="D151" s="7" t="s">
        <v>246</v>
      </c>
      <c r="E151" t="s">
        <v>275</v>
      </c>
    </row>
    <row r="152" spans="1:5" ht="15">
      <c r="A152" t="s">
        <v>10</v>
      </c>
      <c r="B152" t="s">
        <v>16</v>
      </c>
      <c r="C152" t="s">
        <v>276</v>
      </c>
      <c r="D152" s="7" t="s">
        <v>246</v>
      </c>
      <c r="E152" t="s">
        <v>277</v>
      </c>
    </row>
    <row r="153" spans="1:5" ht="15">
      <c r="A153" t="s">
        <v>10</v>
      </c>
      <c r="B153" t="s">
        <v>16</v>
      </c>
      <c r="C153" t="s">
        <v>278</v>
      </c>
      <c r="D153" s="7" t="s">
        <v>246</v>
      </c>
      <c r="E153" t="s">
        <v>279</v>
      </c>
    </row>
    <row r="154" spans="1:5" ht="15">
      <c r="A154" t="s">
        <v>10</v>
      </c>
      <c r="B154" t="s">
        <v>16</v>
      </c>
      <c r="C154" t="s">
        <v>280</v>
      </c>
      <c r="D154" s="7" t="s">
        <v>246</v>
      </c>
      <c r="E154" t="s">
        <v>281</v>
      </c>
    </row>
    <row r="155" spans="1:5" ht="15">
      <c r="A155" t="s">
        <v>10</v>
      </c>
      <c r="B155" t="s">
        <v>16</v>
      </c>
      <c r="C155" t="s">
        <v>282</v>
      </c>
      <c r="D155" s="7" t="s">
        <v>246</v>
      </c>
      <c r="E155" t="s">
        <v>283</v>
      </c>
    </row>
    <row r="156" spans="1:5" ht="15">
      <c r="A156" t="s">
        <v>10</v>
      </c>
      <c r="B156" t="s">
        <v>16</v>
      </c>
      <c r="C156" t="s">
        <v>284</v>
      </c>
      <c r="D156" s="7" t="s">
        <v>246</v>
      </c>
      <c r="E156" t="s">
        <v>285</v>
      </c>
    </row>
    <row r="157" spans="1:5" ht="15">
      <c r="A157" t="s">
        <v>10</v>
      </c>
      <c r="B157" t="s">
        <v>16</v>
      </c>
      <c r="C157" t="s">
        <v>286</v>
      </c>
      <c r="D157" s="7" t="s">
        <v>246</v>
      </c>
      <c r="E157" t="s">
        <v>287</v>
      </c>
    </row>
    <row r="158" spans="1:5" ht="15">
      <c r="A158" t="s">
        <v>10</v>
      </c>
      <c r="B158" t="s">
        <v>16</v>
      </c>
      <c r="C158" t="s">
        <v>288</v>
      </c>
      <c r="D158" s="7" t="s">
        <v>246</v>
      </c>
      <c r="E158" t="s">
        <v>289</v>
      </c>
    </row>
    <row r="159" spans="1:5" ht="15">
      <c r="A159" t="s">
        <v>10</v>
      </c>
      <c r="B159" t="s">
        <v>16</v>
      </c>
      <c r="C159" t="s">
        <v>290</v>
      </c>
      <c r="D159" s="7" t="s">
        <v>246</v>
      </c>
      <c r="E159" t="s">
        <v>291</v>
      </c>
    </row>
    <row r="160" spans="1:5" ht="15">
      <c r="A160" t="s">
        <v>10</v>
      </c>
      <c r="B160" t="s">
        <v>292</v>
      </c>
      <c r="C160" t="s">
        <v>293</v>
      </c>
      <c r="D160" s="7" t="s">
        <v>294</v>
      </c>
      <c r="E160" t="s">
        <v>295</v>
      </c>
    </row>
    <row r="161" spans="1:5" ht="15">
      <c r="A161" t="s">
        <v>10</v>
      </c>
      <c r="B161" t="s">
        <v>292</v>
      </c>
      <c r="C161" t="s">
        <v>296</v>
      </c>
      <c r="D161" s="7" t="s">
        <v>294</v>
      </c>
      <c r="E161" t="s">
        <v>297</v>
      </c>
    </row>
    <row r="162" spans="1:5" ht="15">
      <c r="A162" t="s">
        <v>10</v>
      </c>
      <c r="B162" t="s">
        <v>292</v>
      </c>
      <c r="C162" t="s">
        <v>298</v>
      </c>
      <c r="D162" s="7" t="s">
        <v>294</v>
      </c>
      <c r="E162" t="s">
        <v>299</v>
      </c>
    </row>
    <row r="163" spans="1:5" ht="15">
      <c r="A163" t="s">
        <v>10</v>
      </c>
      <c r="B163" t="s">
        <v>292</v>
      </c>
      <c r="C163" t="s">
        <v>300</v>
      </c>
      <c r="D163" s="7" t="s">
        <v>294</v>
      </c>
      <c r="E163" t="s">
        <v>301</v>
      </c>
    </row>
    <row r="164" spans="1:5" ht="15">
      <c r="A164" t="s">
        <v>10</v>
      </c>
      <c r="B164" t="s">
        <v>292</v>
      </c>
      <c r="C164" t="s">
        <v>302</v>
      </c>
      <c r="D164" s="7" t="s">
        <v>294</v>
      </c>
      <c r="E164" t="s">
        <v>303</v>
      </c>
    </row>
    <row r="165" spans="1:5" ht="15">
      <c r="A165" t="s">
        <v>10</v>
      </c>
      <c r="B165" t="s">
        <v>304</v>
      </c>
      <c r="C165" t="s">
        <v>305</v>
      </c>
      <c r="D165" s="7" t="s">
        <v>306</v>
      </c>
      <c r="E165" t="s">
        <v>33</v>
      </c>
    </row>
    <row r="166" spans="1:5" ht="15">
      <c r="A166" t="s">
        <v>10</v>
      </c>
      <c r="B166" t="s">
        <v>304</v>
      </c>
      <c r="C166" t="s">
        <v>307</v>
      </c>
      <c r="D166" s="7" t="s">
        <v>306</v>
      </c>
      <c r="E166" t="s">
        <v>308</v>
      </c>
    </row>
    <row r="167" spans="1:5" ht="15">
      <c r="A167" t="s">
        <v>10</v>
      </c>
      <c r="B167" t="s">
        <v>304</v>
      </c>
      <c r="C167" t="s">
        <v>309</v>
      </c>
      <c r="D167" s="7" t="s">
        <v>306</v>
      </c>
      <c r="E167" t="s">
        <v>310</v>
      </c>
    </row>
    <row r="168" spans="1:5" ht="15">
      <c r="A168" t="s">
        <v>10</v>
      </c>
      <c r="B168" t="s">
        <v>304</v>
      </c>
      <c r="C168" t="s">
        <v>311</v>
      </c>
      <c r="D168" s="7" t="s">
        <v>306</v>
      </c>
      <c r="E168" t="s">
        <v>312</v>
      </c>
    </row>
    <row r="169" spans="1:5" ht="15">
      <c r="A169" t="s">
        <v>10</v>
      </c>
      <c r="B169" t="s">
        <v>304</v>
      </c>
      <c r="C169" t="s">
        <v>313</v>
      </c>
      <c r="D169" s="7" t="s">
        <v>306</v>
      </c>
      <c r="E169" t="s">
        <v>48</v>
      </c>
    </row>
    <row r="170" spans="1:5" ht="15">
      <c r="A170" t="s">
        <v>10</v>
      </c>
      <c r="B170" t="s">
        <v>314</v>
      </c>
      <c r="C170" t="s">
        <v>315</v>
      </c>
      <c r="D170" s="7" t="s">
        <v>316</v>
      </c>
      <c r="E170" t="s">
        <v>317</v>
      </c>
    </row>
    <row r="171" spans="1:5" ht="15">
      <c r="A171" t="s">
        <v>10</v>
      </c>
      <c r="B171" t="s">
        <v>314</v>
      </c>
      <c r="C171" t="s">
        <v>318</v>
      </c>
      <c r="D171" s="7" t="s">
        <v>316</v>
      </c>
      <c r="E171" t="s">
        <v>319</v>
      </c>
    </row>
    <row r="172" spans="1:5" ht="15">
      <c r="A172" t="s">
        <v>10</v>
      </c>
      <c r="B172" t="s">
        <v>314</v>
      </c>
      <c r="C172" t="s">
        <v>320</v>
      </c>
      <c r="D172" s="7" t="s">
        <v>316</v>
      </c>
      <c r="E172" t="s">
        <v>321</v>
      </c>
    </row>
    <row r="173" spans="1:5" ht="15">
      <c r="A173" t="s">
        <v>10</v>
      </c>
      <c r="B173" t="s">
        <v>314</v>
      </c>
      <c r="C173" t="s">
        <v>322</v>
      </c>
      <c r="D173" s="7" t="s">
        <v>316</v>
      </c>
      <c r="E173" t="s">
        <v>323</v>
      </c>
    </row>
    <row r="174" spans="1:5" ht="15">
      <c r="A174" t="s">
        <v>10</v>
      </c>
      <c r="B174" t="s">
        <v>314</v>
      </c>
      <c r="C174" t="s">
        <v>324</v>
      </c>
      <c r="D174" s="7" t="s">
        <v>316</v>
      </c>
      <c r="E174" t="s">
        <v>325</v>
      </c>
    </row>
    <row r="175" spans="1:5" ht="15">
      <c r="A175" t="s">
        <v>10</v>
      </c>
      <c r="B175" t="s">
        <v>314</v>
      </c>
      <c r="C175" t="s">
        <v>326</v>
      </c>
      <c r="D175" s="7" t="s">
        <v>316</v>
      </c>
      <c r="E175" t="s">
        <v>327</v>
      </c>
    </row>
    <row r="176" spans="1:5" ht="15">
      <c r="A176" t="s">
        <v>10</v>
      </c>
      <c r="B176" t="s">
        <v>314</v>
      </c>
      <c r="C176" t="s">
        <v>328</v>
      </c>
      <c r="D176" s="7" t="s">
        <v>316</v>
      </c>
      <c r="E176" t="s">
        <v>329</v>
      </c>
    </row>
    <row r="177" spans="1:5" ht="15">
      <c r="A177" t="s">
        <v>10</v>
      </c>
      <c r="B177" t="s">
        <v>314</v>
      </c>
      <c r="C177" t="s">
        <v>330</v>
      </c>
      <c r="D177" s="7" t="s">
        <v>316</v>
      </c>
      <c r="E177" t="s">
        <v>33</v>
      </c>
    </row>
    <row r="178" spans="1:5" ht="15">
      <c r="A178" t="s">
        <v>10</v>
      </c>
      <c r="B178" t="s">
        <v>314</v>
      </c>
      <c r="C178" t="s">
        <v>331</v>
      </c>
      <c r="D178" s="7" t="s">
        <v>316</v>
      </c>
      <c r="E178" t="s">
        <v>332</v>
      </c>
    </row>
    <row r="179" spans="1:5" ht="15">
      <c r="A179" t="s">
        <v>10</v>
      </c>
      <c r="B179" t="s">
        <v>314</v>
      </c>
      <c r="C179" t="s">
        <v>333</v>
      </c>
      <c r="D179" s="7" t="s">
        <v>316</v>
      </c>
      <c r="E179" t="s">
        <v>33</v>
      </c>
    </row>
    <row r="180" spans="1:5" ht="15">
      <c r="A180" t="s">
        <v>10</v>
      </c>
      <c r="B180" t="s">
        <v>334</v>
      </c>
      <c r="C180" t="s">
        <v>309</v>
      </c>
      <c r="D180" s="7" t="s">
        <v>335</v>
      </c>
      <c r="E180" t="s">
        <v>336</v>
      </c>
    </row>
    <row r="181" spans="1:5" ht="15">
      <c r="A181" t="s">
        <v>10</v>
      </c>
      <c r="B181" t="s">
        <v>334</v>
      </c>
      <c r="C181" t="s">
        <v>24</v>
      </c>
      <c r="D181" s="7" t="s">
        <v>335</v>
      </c>
      <c r="E181" t="s">
        <v>337</v>
      </c>
    </row>
    <row r="182" spans="1:5" ht="15">
      <c r="A182" t="s">
        <v>10</v>
      </c>
      <c r="B182" t="s">
        <v>334</v>
      </c>
      <c r="C182" t="s">
        <v>338</v>
      </c>
      <c r="D182" s="7" t="s">
        <v>335</v>
      </c>
      <c r="E182" t="s">
        <v>339</v>
      </c>
    </row>
    <row r="183" spans="1:5" ht="15">
      <c r="A183" t="s">
        <v>10</v>
      </c>
      <c r="B183" t="s">
        <v>334</v>
      </c>
      <c r="C183" t="s">
        <v>340</v>
      </c>
      <c r="D183" s="7" t="s">
        <v>335</v>
      </c>
      <c r="E183" t="s">
        <v>341</v>
      </c>
    </row>
    <row r="184" spans="1:5" ht="15">
      <c r="A184" t="s">
        <v>10</v>
      </c>
      <c r="B184" t="s">
        <v>334</v>
      </c>
      <c r="C184" t="s">
        <v>342</v>
      </c>
      <c r="D184" s="7" t="s">
        <v>335</v>
      </c>
      <c r="E184" t="s">
        <v>343</v>
      </c>
    </row>
    <row r="185" spans="1:5" ht="15">
      <c r="A185" t="s">
        <v>10</v>
      </c>
      <c r="B185" t="s">
        <v>334</v>
      </c>
      <c r="C185" t="s">
        <v>175</v>
      </c>
      <c r="D185" s="7" t="s">
        <v>335</v>
      </c>
      <c r="E185" t="s">
        <v>344</v>
      </c>
    </row>
    <row r="186" spans="1:5" ht="15">
      <c r="A186" t="s">
        <v>10</v>
      </c>
      <c r="B186" t="s">
        <v>334</v>
      </c>
      <c r="C186" t="s">
        <v>345</v>
      </c>
      <c r="D186" s="7" t="s">
        <v>335</v>
      </c>
      <c r="E186" t="s">
        <v>346</v>
      </c>
    </row>
    <row r="187" spans="1:5" ht="15">
      <c r="A187" t="s">
        <v>10</v>
      </c>
      <c r="B187" t="s">
        <v>334</v>
      </c>
      <c r="C187" t="s">
        <v>119</v>
      </c>
      <c r="D187" s="7" t="s">
        <v>335</v>
      </c>
      <c r="E187" t="s">
        <v>347</v>
      </c>
    </row>
    <row r="188" spans="1:5" ht="15">
      <c r="A188" t="s">
        <v>10</v>
      </c>
      <c r="B188" t="s">
        <v>334</v>
      </c>
      <c r="C188" t="s">
        <v>121</v>
      </c>
      <c r="D188" s="7" t="s">
        <v>335</v>
      </c>
      <c r="E188" t="s">
        <v>348</v>
      </c>
    </row>
    <row r="189" spans="1:5" ht="15">
      <c r="A189" t="s">
        <v>10</v>
      </c>
      <c r="B189" t="s">
        <v>334</v>
      </c>
      <c r="C189" t="s">
        <v>349</v>
      </c>
      <c r="D189" s="7" t="s">
        <v>335</v>
      </c>
      <c r="E189" t="s">
        <v>350</v>
      </c>
    </row>
    <row r="190" spans="1:5" ht="15">
      <c r="A190" t="s">
        <v>10</v>
      </c>
      <c r="B190" t="s">
        <v>334</v>
      </c>
      <c r="C190" t="s">
        <v>43</v>
      </c>
      <c r="D190" s="7" t="s">
        <v>335</v>
      </c>
      <c r="E190" t="s">
        <v>351</v>
      </c>
    </row>
    <row r="191" spans="1:5" ht="15">
      <c r="A191" t="s">
        <v>10</v>
      </c>
      <c r="B191" t="s">
        <v>334</v>
      </c>
      <c r="C191" t="s">
        <v>133</v>
      </c>
      <c r="D191" s="7" t="s">
        <v>335</v>
      </c>
      <c r="E191" t="s">
        <v>352</v>
      </c>
    </row>
    <row r="192" spans="1:5" ht="15">
      <c r="A192" t="s">
        <v>10</v>
      </c>
      <c r="B192" t="s">
        <v>334</v>
      </c>
      <c r="C192" t="s">
        <v>47</v>
      </c>
      <c r="D192" s="7" t="s">
        <v>335</v>
      </c>
      <c r="E192" t="s">
        <v>48</v>
      </c>
    </row>
    <row r="193" spans="1:5" ht="15">
      <c r="A193" t="s">
        <v>10</v>
      </c>
      <c r="B193" t="s">
        <v>353</v>
      </c>
      <c r="C193" t="s">
        <v>354</v>
      </c>
      <c r="D193" s="7" t="s">
        <v>355</v>
      </c>
      <c r="E193" t="s">
        <v>356</v>
      </c>
    </row>
    <row r="194" spans="1:5" ht="15">
      <c r="A194" t="s">
        <v>10</v>
      </c>
      <c r="B194" t="s">
        <v>353</v>
      </c>
      <c r="C194" t="s">
        <v>357</v>
      </c>
      <c r="D194" s="7" t="s">
        <v>355</v>
      </c>
      <c r="E194" t="s">
        <v>358</v>
      </c>
    </row>
    <row r="195" spans="1:5" ht="15">
      <c r="A195" t="s">
        <v>10</v>
      </c>
      <c r="B195" t="s">
        <v>353</v>
      </c>
      <c r="C195" t="s">
        <v>359</v>
      </c>
      <c r="D195" s="7" t="s">
        <v>355</v>
      </c>
      <c r="E195" t="s">
        <v>360</v>
      </c>
    </row>
    <row r="196" spans="1:5" ht="15">
      <c r="A196" t="s">
        <v>10</v>
      </c>
      <c r="B196" t="s">
        <v>353</v>
      </c>
      <c r="C196" t="s">
        <v>361</v>
      </c>
      <c r="D196" s="7" t="s">
        <v>355</v>
      </c>
      <c r="E196" t="s">
        <v>362</v>
      </c>
    </row>
    <row r="197" spans="1:5" ht="15">
      <c r="A197" t="s">
        <v>10</v>
      </c>
      <c r="B197" t="s">
        <v>353</v>
      </c>
      <c r="C197" t="s">
        <v>363</v>
      </c>
      <c r="D197" s="7" t="s">
        <v>355</v>
      </c>
      <c r="E197" t="s">
        <v>364</v>
      </c>
    </row>
    <row r="198" spans="1:5" ht="15">
      <c r="A198" t="s">
        <v>10</v>
      </c>
      <c r="B198" t="s">
        <v>353</v>
      </c>
      <c r="C198" t="s">
        <v>365</v>
      </c>
      <c r="D198" s="7" t="s">
        <v>355</v>
      </c>
      <c r="E198" t="s">
        <v>177</v>
      </c>
    </row>
    <row r="199" spans="1:5" ht="15">
      <c r="A199" t="s">
        <v>10</v>
      </c>
      <c r="B199" t="s">
        <v>366</v>
      </c>
      <c r="C199" t="s">
        <v>12</v>
      </c>
      <c r="D199" s="7" t="s">
        <v>367</v>
      </c>
      <c r="E199" t="s">
        <v>33</v>
      </c>
    </row>
    <row r="200" spans="1:5" ht="15">
      <c r="A200" t="s">
        <v>10</v>
      </c>
      <c r="B200" t="s">
        <v>366</v>
      </c>
      <c r="C200" t="s">
        <v>172</v>
      </c>
      <c r="D200" s="7" t="s">
        <v>367</v>
      </c>
      <c r="E200" t="s">
        <v>368</v>
      </c>
    </row>
    <row r="201" spans="1:5" ht="15">
      <c r="A201" t="s">
        <v>10</v>
      </c>
      <c r="B201" t="s">
        <v>366</v>
      </c>
      <c r="C201" t="s">
        <v>52</v>
      </c>
      <c r="D201" s="7" t="s">
        <v>367</v>
      </c>
      <c r="E201" t="s">
        <v>369</v>
      </c>
    </row>
    <row r="202" spans="1:5" ht="15">
      <c r="A202" t="s">
        <v>10</v>
      </c>
      <c r="B202" t="s">
        <v>366</v>
      </c>
      <c r="C202" t="s">
        <v>39</v>
      </c>
      <c r="D202" s="7" t="s">
        <v>367</v>
      </c>
      <c r="E202" t="s">
        <v>370</v>
      </c>
    </row>
    <row r="203" spans="1:5" ht="15">
      <c r="A203" t="s">
        <v>10</v>
      </c>
      <c r="B203" t="s">
        <v>366</v>
      </c>
      <c r="C203" t="s">
        <v>43</v>
      </c>
      <c r="D203" s="7" t="s">
        <v>367</v>
      </c>
      <c r="E203" t="s">
        <v>371</v>
      </c>
    </row>
    <row r="204" spans="1:5" ht="15">
      <c r="A204" t="s">
        <v>10</v>
      </c>
      <c r="B204" t="s">
        <v>366</v>
      </c>
      <c r="C204" t="s">
        <v>47</v>
      </c>
      <c r="D204" s="7" t="s">
        <v>367</v>
      </c>
      <c r="E204" t="s">
        <v>48</v>
      </c>
    </row>
    <row r="205" spans="1:5" ht="15">
      <c r="A205" t="s">
        <v>10</v>
      </c>
      <c r="B205" t="s">
        <v>366</v>
      </c>
      <c r="C205" t="s">
        <v>106</v>
      </c>
      <c r="D205" s="7" t="s">
        <v>367</v>
      </c>
      <c r="E205" t="s">
        <v>372</v>
      </c>
    </row>
    <row r="206" spans="1:5" ht="15">
      <c r="A206" t="s">
        <v>10</v>
      </c>
      <c r="B206" t="s">
        <v>373</v>
      </c>
      <c r="C206" t="s">
        <v>24</v>
      </c>
      <c r="D206" s="7" t="s">
        <v>374</v>
      </c>
      <c r="E206" t="s">
        <v>329</v>
      </c>
    </row>
    <row r="207" spans="1:5" ht="15">
      <c r="A207" t="s">
        <v>10</v>
      </c>
      <c r="B207" t="s">
        <v>373</v>
      </c>
      <c r="C207" t="s">
        <v>375</v>
      </c>
      <c r="D207" s="7" t="s">
        <v>374</v>
      </c>
      <c r="E207" t="s">
        <v>376</v>
      </c>
    </row>
    <row r="208" spans="1:5" ht="15">
      <c r="A208" t="s">
        <v>10</v>
      </c>
      <c r="B208" t="s">
        <v>373</v>
      </c>
      <c r="C208" t="s">
        <v>267</v>
      </c>
      <c r="D208" s="7" t="s">
        <v>374</v>
      </c>
      <c r="E208" t="s">
        <v>377</v>
      </c>
    </row>
    <row r="209" spans="1:5" ht="15">
      <c r="A209" t="s">
        <v>10</v>
      </c>
      <c r="B209" t="s">
        <v>373</v>
      </c>
      <c r="C209" t="s">
        <v>378</v>
      </c>
      <c r="D209" s="7" t="s">
        <v>374</v>
      </c>
      <c r="E209" t="s">
        <v>379</v>
      </c>
    </row>
    <row r="210" spans="1:5" ht="15">
      <c r="A210" t="s">
        <v>10</v>
      </c>
      <c r="B210" t="s">
        <v>373</v>
      </c>
      <c r="C210" t="s">
        <v>380</v>
      </c>
      <c r="D210" s="7" t="s">
        <v>374</v>
      </c>
      <c r="E210" t="s">
        <v>381</v>
      </c>
    </row>
    <row r="211" spans="1:5" ht="15">
      <c r="A211" t="s">
        <v>10</v>
      </c>
      <c r="B211" t="s">
        <v>373</v>
      </c>
      <c r="C211" t="s">
        <v>382</v>
      </c>
      <c r="D211" s="7" t="s">
        <v>374</v>
      </c>
      <c r="E211" t="s">
        <v>383</v>
      </c>
    </row>
    <row r="212" spans="1:5" ht="15">
      <c r="A212" t="s">
        <v>10</v>
      </c>
      <c r="B212" t="s">
        <v>373</v>
      </c>
      <c r="C212" t="s">
        <v>39</v>
      </c>
      <c r="D212" s="7" t="s">
        <v>374</v>
      </c>
      <c r="E212" t="s">
        <v>384</v>
      </c>
    </row>
    <row r="213" spans="1:5" ht="15">
      <c r="A213" t="s">
        <v>10</v>
      </c>
      <c r="B213" t="s">
        <v>373</v>
      </c>
      <c r="C213" t="s">
        <v>121</v>
      </c>
      <c r="D213" s="7" t="s">
        <v>374</v>
      </c>
      <c r="E213" t="s">
        <v>385</v>
      </c>
    </row>
    <row r="214" spans="1:5" ht="15">
      <c r="A214" t="s">
        <v>10</v>
      </c>
      <c r="B214" t="s">
        <v>373</v>
      </c>
      <c r="C214" t="s">
        <v>41</v>
      </c>
      <c r="D214" s="7" t="s">
        <v>374</v>
      </c>
      <c r="E214" t="s">
        <v>386</v>
      </c>
    </row>
    <row r="215" spans="1:5" ht="15">
      <c r="A215" t="s">
        <v>10</v>
      </c>
      <c r="B215" t="s">
        <v>373</v>
      </c>
      <c r="C215" t="s">
        <v>123</v>
      </c>
      <c r="D215" s="7" t="s">
        <v>374</v>
      </c>
      <c r="E215" t="s">
        <v>387</v>
      </c>
    </row>
    <row r="216" spans="1:5" ht="15">
      <c r="A216" t="s">
        <v>10</v>
      </c>
      <c r="B216" t="s">
        <v>388</v>
      </c>
      <c r="C216" t="s">
        <v>389</v>
      </c>
      <c r="D216" s="7" t="s">
        <v>390</v>
      </c>
      <c r="E216" t="s">
        <v>391</v>
      </c>
    </row>
    <row r="217" spans="1:5" ht="15">
      <c r="A217" t="s">
        <v>10</v>
      </c>
      <c r="B217" t="s">
        <v>388</v>
      </c>
      <c r="C217" t="s">
        <v>392</v>
      </c>
      <c r="D217" s="7" t="s">
        <v>390</v>
      </c>
      <c r="E217" t="s">
        <v>393</v>
      </c>
    </row>
    <row r="218" spans="1:5" ht="15">
      <c r="A218" t="s">
        <v>10</v>
      </c>
      <c r="B218" t="s">
        <v>388</v>
      </c>
      <c r="C218" t="s">
        <v>394</v>
      </c>
      <c r="D218" s="7" t="s">
        <v>390</v>
      </c>
      <c r="E218" t="s">
        <v>395</v>
      </c>
    </row>
    <row r="219" spans="1:5" ht="15">
      <c r="A219" t="s">
        <v>10</v>
      </c>
      <c r="B219" t="s">
        <v>388</v>
      </c>
      <c r="C219" t="s">
        <v>396</v>
      </c>
      <c r="D219" s="7" t="s">
        <v>390</v>
      </c>
      <c r="E219" t="s">
        <v>397</v>
      </c>
    </row>
    <row r="220" spans="1:5" ht="15">
      <c r="A220" t="s">
        <v>10</v>
      </c>
      <c r="B220" t="s">
        <v>388</v>
      </c>
      <c r="C220" t="s">
        <v>398</v>
      </c>
      <c r="D220" s="7" t="s">
        <v>390</v>
      </c>
      <c r="E220" t="s">
        <v>399</v>
      </c>
    </row>
    <row r="221" spans="1:5" ht="15">
      <c r="A221" t="s">
        <v>10</v>
      </c>
      <c r="B221" t="s">
        <v>388</v>
      </c>
      <c r="C221" t="s">
        <v>400</v>
      </c>
      <c r="D221" s="7" t="s">
        <v>390</v>
      </c>
      <c r="E221" t="s">
        <v>401</v>
      </c>
    </row>
    <row r="222" spans="1:5" ht="15">
      <c r="A222" t="s">
        <v>10</v>
      </c>
      <c r="B222" t="s">
        <v>402</v>
      </c>
      <c r="C222" t="s">
        <v>12</v>
      </c>
      <c r="D222" s="7" t="s">
        <v>403</v>
      </c>
      <c r="E222" t="s">
        <v>33</v>
      </c>
    </row>
    <row r="223" spans="1:5" ht="15">
      <c r="A223" t="s">
        <v>10</v>
      </c>
      <c r="B223" t="s">
        <v>402</v>
      </c>
      <c r="C223" t="s">
        <v>404</v>
      </c>
      <c r="D223" s="7" t="s">
        <v>403</v>
      </c>
      <c r="E223" t="s">
        <v>405</v>
      </c>
    </row>
    <row r="224" spans="1:5" ht="15">
      <c r="A224" t="s">
        <v>10</v>
      </c>
      <c r="B224" t="s">
        <v>402</v>
      </c>
      <c r="C224" t="s">
        <v>406</v>
      </c>
      <c r="D224" s="7" t="s">
        <v>403</v>
      </c>
      <c r="E224" t="s">
        <v>407</v>
      </c>
    </row>
    <row r="225" spans="1:5" ht="15">
      <c r="A225" t="s">
        <v>10</v>
      </c>
      <c r="B225" t="s">
        <v>402</v>
      </c>
      <c r="C225" t="s">
        <v>408</v>
      </c>
      <c r="D225" s="7" t="s">
        <v>403</v>
      </c>
      <c r="E225" t="s">
        <v>409</v>
      </c>
    </row>
    <row r="226" spans="1:5" ht="15">
      <c r="A226" t="s">
        <v>10</v>
      </c>
      <c r="B226" t="s">
        <v>402</v>
      </c>
      <c r="C226" t="s">
        <v>410</v>
      </c>
      <c r="D226" s="7" t="s">
        <v>403</v>
      </c>
      <c r="E226" t="s">
        <v>411</v>
      </c>
    </row>
    <row r="227" spans="1:5" ht="15">
      <c r="A227" t="s">
        <v>10</v>
      </c>
      <c r="B227" t="s">
        <v>402</v>
      </c>
      <c r="C227" t="s">
        <v>412</v>
      </c>
      <c r="D227" s="7" t="s">
        <v>403</v>
      </c>
      <c r="E227" t="s">
        <v>413</v>
      </c>
    </row>
    <row r="228" spans="1:5" ht="15">
      <c r="A228" t="s">
        <v>10</v>
      </c>
      <c r="B228" t="s">
        <v>402</v>
      </c>
      <c r="C228" t="s">
        <v>414</v>
      </c>
      <c r="D228" s="7" t="s">
        <v>403</v>
      </c>
      <c r="E228" t="s">
        <v>415</v>
      </c>
    </row>
    <row r="229" spans="1:5" ht="15">
      <c r="A229" t="s">
        <v>10</v>
      </c>
      <c r="B229" t="s">
        <v>416</v>
      </c>
      <c r="C229" t="s">
        <v>12</v>
      </c>
      <c r="D229" s="7" t="s">
        <v>417</v>
      </c>
      <c r="E229" t="s">
        <v>33</v>
      </c>
    </row>
    <row r="230" spans="1:5" ht="15">
      <c r="A230" t="s">
        <v>10</v>
      </c>
      <c r="B230" t="s">
        <v>418</v>
      </c>
      <c r="C230" t="s">
        <v>12</v>
      </c>
      <c r="D230" s="7" t="s">
        <v>419</v>
      </c>
      <c r="E230" t="s">
        <v>33</v>
      </c>
    </row>
    <row r="231" spans="1:5" ht="15">
      <c r="A231" t="s">
        <v>10</v>
      </c>
      <c r="B231" t="s">
        <v>420</v>
      </c>
      <c r="C231" t="s">
        <v>112</v>
      </c>
      <c r="D231" s="7" t="s">
        <v>421</v>
      </c>
      <c r="E231" t="s">
        <v>422</v>
      </c>
    </row>
    <row r="232" spans="1:5" ht="15">
      <c r="A232" t="s">
        <v>10</v>
      </c>
      <c r="B232" t="s">
        <v>423</v>
      </c>
      <c r="C232" t="s">
        <v>47</v>
      </c>
      <c r="D232" s="7" t="s">
        <v>424</v>
      </c>
      <c r="E232" t="s">
        <v>48</v>
      </c>
    </row>
    <row r="233" spans="1:5" ht="15">
      <c r="A233" t="s">
        <v>10</v>
      </c>
      <c r="B233" t="s">
        <v>425</v>
      </c>
      <c r="C233" t="s">
        <v>60</v>
      </c>
      <c r="D233" s="7" t="s">
        <v>426</v>
      </c>
      <c r="E233" t="s">
        <v>427</v>
      </c>
    </row>
    <row r="234" spans="1:5" ht="15">
      <c r="A234" t="s">
        <v>10</v>
      </c>
      <c r="B234" t="s">
        <v>428</v>
      </c>
      <c r="C234" t="s">
        <v>47</v>
      </c>
      <c r="D234" s="7" t="s">
        <v>429</v>
      </c>
      <c r="E234" t="s">
        <v>48</v>
      </c>
    </row>
    <row r="235" spans="1:5" ht="15">
      <c r="A235" t="s">
        <v>10</v>
      </c>
      <c r="B235" t="s">
        <v>430</v>
      </c>
      <c r="C235" t="s">
        <v>12</v>
      </c>
      <c r="D235" s="7" t="s">
        <v>431</v>
      </c>
      <c r="E235" t="s">
        <v>33</v>
      </c>
    </row>
    <row r="236" spans="1:5" ht="15">
      <c r="A236" t="s">
        <v>10</v>
      </c>
      <c r="B236" t="s">
        <v>430</v>
      </c>
      <c r="C236" t="s">
        <v>432</v>
      </c>
      <c r="D236" s="7" t="s">
        <v>431</v>
      </c>
      <c r="E236" t="s">
        <v>48</v>
      </c>
    </row>
    <row r="237" spans="1:5" ht="15">
      <c r="A237" t="s">
        <v>10</v>
      </c>
      <c r="B237" t="s">
        <v>433</v>
      </c>
      <c r="C237" t="s">
        <v>12</v>
      </c>
      <c r="D237" s="7" t="s">
        <v>434</v>
      </c>
      <c r="E237" t="s">
        <v>33</v>
      </c>
    </row>
    <row r="238" spans="1:5" ht="15">
      <c r="A238" t="s">
        <v>10</v>
      </c>
      <c r="B238" t="s">
        <v>433</v>
      </c>
      <c r="C238" t="s">
        <v>435</v>
      </c>
      <c r="D238" s="7" t="s">
        <v>434</v>
      </c>
      <c r="E238" t="s">
        <v>436</v>
      </c>
    </row>
    <row r="239" spans="1:5" ht="15">
      <c r="A239" t="s">
        <v>10</v>
      </c>
      <c r="B239" t="s">
        <v>433</v>
      </c>
      <c r="C239" t="s">
        <v>146</v>
      </c>
      <c r="D239" s="7" t="s">
        <v>434</v>
      </c>
      <c r="E239" t="s">
        <v>437</v>
      </c>
    </row>
    <row r="240" spans="1:5" ht="15">
      <c r="A240" t="s">
        <v>10</v>
      </c>
      <c r="B240" t="s">
        <v>433</v>
      </c>
      <c r="C240" t="s">
        <v>438</v>
      </c>
      <c r="D240" s="7" t="s">
        <v>434</v>
      </c>
      <c r="E240" t="s">
        <v>439</v>
      </c>
    </row>
    <row r="241" spans="1:5" ht="15">
      <c r="A241" t="s">
        <v>10</v>
      </c>
      <c r="B241" t="s">
        <v>433</v>
      </c>
      <c r="C241" t="s">
        <v>440</v>
      </c>
      <c r="D241" s="7" t="s">
        <v>434</v>
      </c>
      <c r="E241" t="s">
        <v>343</v>
      </c>
    </row>
    <row r="242" spans="1:5" ht="15">
      <c r="A242" t="s">
        <v>10</v>
      </c>
      <c r="B242" t="s">
        <v>441</v>
      </c>
      <c r="C242" t="s">
        <v>12</v>
      </c>
      <c r="D242" s="7" t="s">
        <v>434</v>
      </c>
      <c r="E242" t="s">
        <v>33</v>
      </c>
    </row>
    <row r="243" spans="1:5" ht="15">
      <c r="A243" t="s">
        <v>10</v>
      </c>
      <c r="B243" t="s">
        <v>441</v>
      </c>
      <c r="C243" t="s">
        <v>442</v>
      </c>
      <c r="D243" s="7" t="s">
        <v>434</v>
      </c>
      <c r="E243" t="s">
        <v>443</v>
      </c>
    </row>
    <row r="244" spans="1:5" ht="15">
      <c r="A244" t="s">
        <v>10</v>
      </c>
      <c r="B244" t="s">
        <v>441</v>
      </c>
      <c r="C244" t="s">
        <v>170</v>
      </c>
      <c r="D244" s="7" t="s">
        <v>434</v>
      </c>
      <c r="E244" t="s">
        <v>444</v>
      </c>
    </row>
    <row r="245" spans="1:5" ht="15">
      <c r="A245" t="s">
        <v>10</v>
      </c>
      <c r="B245" t="s">
        <v>441</v>
      </c>
      <c r="C245" t="s">
        <v>445</v>
      </c>
      <c r="D245" s="7" t="s">
        <v>434</v>
      </c>
      <c r="E245" t="s">
        <v>446</v>
      </c>
    </row>
    <row r="246" spans="1:5" ht="15">
      <c r="A246" t="s">
        <v>10</v>
      </c>
      <c r="B246" t="s">
        <v>441</v>
      </c>
      <c r="C246" t="s">
        <v>447</v>
      </c>
      <c r="D246" s="7" t="s">
        <v>434</v>
      </c>
      <c r="E246" t="s">
        <v>448</v>
      </c>
    </row>
    <row r="247" spans="1:5" ht="15">
      <c r="A247" t="s">
        <v>10</v>
      </c>
      <c r="B247" t="s">
        <v>441</v>
      </c>
      <c r="C247" t="s">
        <v>449</v>
      </c>
      <c r="D247" s="7" t="s">
        <v>434</v>
      </c>
      <c r="E247" t="s">
        <v>122</v>
      </c>
    </row>
    <row r="248" spans="1:5" ht="15">
      <c r="A248" t="s">
        <v>10</v>
      </c>
      <c r="B248" t="s">
        <v>441</v>
      </c>
      <c r="C248" t="s">
        <v>450</v>
      </c>
      <c r="D248" s="7" t="s">
        <v>434</v>
      </c>
      <c r="E248" t="s">
        <v>451</v>
      </c>
    </row>
    <row r="249" spans="1:5" ht="15">
      <c r="A249" t="s">
        <v>10</v>
      </c>
      <c r="B249" t="s">
        <v>441</v>
      </c>
      <c r="C249" t="s">
        <v>47</v>
      </c>
      <c r="D249" s="7" t="s">
        <v>434</v>
      </c>
      <c r="E249" t="s">
        <v>48</v>
      </c>
    </row>
    <row r="250" spans="1:5" ht="15">
      <c r="A250" t="s">
        <v>10</v>
      </c>
      <c r="B250" t="s">
        <v>452</v>
      </c>
      <c r="C250" t="s">
        <v>12</v>
      </c>
      <c r="D250" s="7" t="s">
        <v>453</v>
      </c>
      <c r="E250" t="s">
        <v>454</v>
      </c>
    </row>
    <row r="251" spans="1:5" ht="15">
      <c r="A251" t="s">
        <v>10</v>
      </c>
      <c r="B251" t="s">
        <v>452</v>
      </c>
      <c r="C251" t="s">
        <v>24</v>
      </c>
      <c r="D251" s="7" t="s">
        <v>453</v>
      </c>
      <c r="E251" t="s">
        <v>455</v>
      </c>
    </row>
    <row r="252" spans="1:5" ht="15">
      <c r="A252" t="s">
        <v>10</v>
      </c>
      <c r="B252" t="s">
        <v>452</v>
      </c>
      <c r="C252" t="s">
        <v>52</v>
      </c>
      <c r="D252" s="7" t="s">
        <v>453</v>
      </c>
      <c r="E252" t="s">
        <v>456</v>
      </c>
    </row>
    <row r="253" spans="1:5" ht="15">
      <c r="A253" t="s">
        <v>10</v>
      </c>
      <c r="B253" t="s">
        <v>452</v>
      </c>
      <c r="C253" t="s">
        <v>41</v>
      </c>
      <c r="D253" s="7" t="s">
        <v>453</v>
      </c>
      <c r="E253" t="s">
        <v>457</v>
      </c>
    </row>
    <row r="254" spans="1:5" ht="15">
      <c r="A254" t="s">
        <v>10</v>
      </c>
      <c r="B254" t="s">
        <v>452</v>
      </c>
      <c r="C254" t="s">
        <v>47</v>
      </c>
      <c r="D254" s="7" t="s">
        <v>453</v>
      </c>
      <c r="E254" t="s">
        <v>48</v>
      </c>
    </row>
    <row r="255" spans="1:5" ht="15">
      <c r="A255" t="s">
        <v>10</v>
      </c>
      <c r="B255" t="s">
        <v>452</v>
      </c>
      <c r="C255" t="s">
        <v>106</v>
      </c>
      <c r="D255" s="7" t="s">
        <v>453</v>
      </c>
      <c r="E255" t="s">
        <v>458</v>
      </c>
    </row>
    <row r="256" spans="1:5" ht="15">
      <c r="A256" t="s">
        <v>10</v>
      </c>
      <c r="B256" t="s">
        <v>459</v>
      </c>
      <c r="C256" t="s">
        <v>12</v>
      </c>
      <c r="D256" s="7" t="s">
        <v>460</v>
      </c>
      <c r="E256" t="s">
        <v>33</v>
      </c>
    </row>
    <row r="257" spans="1:5" ht="15">
      <c r="A257" t="s">
        <v>10</v>
      </c>
      <c r="B257" t="s">
        <v>459</v>
      </c>
      <c r="C257" t="s">
        <v>24</v>
      </c>
      <c r="D257" s="7" t="s">
        <v>460</v>
      </c>
      <c r="E257" t="s">
        <v>461</v>
      </c>
    </row>
    <row r="258" spans="1:5" ht="15">
      <c r="A258" t="s">
        <v>10</v>
      </c>
      <c r="B258" t="s">
        <v>459</v>
      </c>
      <c r="C258" t="s">
        <v>52</v>
      </c>
      <c r="D258" s="7" t="s">
        <v>460</v>
      </c>
      <c r="E258" t="s">
        <v>462</v>
      </c>
    </row>
    <row r="259" spans="1:5" ht="15">
      <c r="A259" t="s">
        <v>10</v>
      </c>
      <c r="B259" t="s">
        <v>459</v>
      </c>
      <c r="C259" t="s">
        <v>463</v>
      </c>
      <c r="D259" s="7" t="s">
        <v>460</v>
      </c>
      <c r="E259" t="s">
        <v>464</v>
      </c>
    </row>
    <row r="260" spans="1:5" ht="15">
      <c r="A260" t="s">
        <v>10</v>
      </c>
      <c r="B260" t="s">
        <v>459</v>
      </c>
      <c r="C260" t="s">
        <v>41</v>
      </c>
      <c r="D260" s="7" t="s">
        <v>460</v>
      </c>
      <c r="E260" t="s">
        <v>465</v>
      </c>
    </row>
    <row r="261" spans="1:5" ht="15">
      <c r="A261" t="s">
        <v>10</v>
      </c>
      <c r="B261" t="s">
        <v>459</v>
      </c>
      <c r="C261" t="s">
        <v>47</v>
      </c>
      <c r="D261" s="7" t="s">
        <v>460</v>
      </c>
      <c r="E261" t="s">
        <v>48</v>
      </c>
    </row>
    <row r="262" spans="1:5" ht="15">
      <c r="A262" t="s">
        <v>10</v>
      </c>
      <c r="B262" t="s">
        <v>459</v>
      </c>
      <c r="C262" t="s">
        <v>106</v>
      </c>
      <c r="D262" s="7" t="s">
        <v>460</v>
      </c>
      <c r="E262" t="s">
        <v>466</v>
      </c>
    </row>
    <row r="263" spans="1:5" ht="30">
      <c r="A263" t="s">
        <v>13</v>
      </c>
      <c r="B263" t="s">
        <v>27</v>
      </c>
      <c r="C263" t="s">
        <v>15</v>
      </c>
      <c r="D263" s="7" t="s">
        <v>467</v>
      </c>
      <c r="E263" t="s">
        <v>468</v>
      </c>
    </row>
    <row r="264" spans="1:5" ht="30">
      <c r="A264" t="s">
        <v>13</v>
      </c>
      <c r="B264" t="s">
        <v>27</v>
      </c>
      <c r="C264" t="s">
        <v>469</v>
      </c>
      <c r="D264" s="7" t="s">
        <v>470</v>
      </c>
      <c r="E264" t="s">
        <v>471</v>
      </c>
    </row>
    <row r="265" spans="1:5" ht="15">
      <c r="A265" t="s">
        <v>13</v>
      </c>
      <c r="B265" t="s">
        <v>27</v>
      </c>
      <c r="C265" t="s">
        <v>472</v>
      </c>
      <c r="D265" s="7" t="s">
        <v>473</v>
      </c>
      <c r="E265" t="s">
        <v>474</v>
      </c>
    </row>
    <row r="266" spans="1:5" ht="15">
      <c r="A266" t="s">
        <v>13</v>
      </c>
      <c r="B266" t="s">
        <v>27</v>
      </c>
      <c r="C266" t="s">
        <v>475</v>
      </c>
      <c r="D266" s="7" t="s">
        <v>476</v>
      </c>
      <c r="E266" t="s">
        <v>477</v>
      </c>
    </row>
    <row r="267" spans="1:5" ht="15">
      <c r="A267" t="s">
        <v>13</v>
      </c>
      <c r="B267" t="s">
        <v>27</v>
      </c>
      <c r="C267" t="s">
        <v>478</v>
      </c>
      <c r="D267" s="7" t="s">
        <v>479</v>
      </c>
      <c r="E267" t="s">
        <v>480</v>
      </c>
    </row>
    <row r="268" spans="1:5" ht="15">
      <c r="A268" t="s">
        <v>13</v>
      </c>
      <c r="B268" t="s">
        <v>27</v>
      </c>
      <c r="C268" t="s">
        <v>481</v>
      </c>
      <c r="D268" s="7" t="s">
        <v>482</v>
      </c>
      <c r="E268" t="s">
        <v>483</v>
      </c>
    </row>
    <row r="269" spans="1:5" ht="30">
      <c r="A269" t="s">
        <v>13</v>
      </c>
      <c r="B269" t="s">
        <v>27</v>
      </c>
      <c r="C269" t="s">
        <v>484</v>
      </c>
      <c r="D269" s="7" t="s">
        <v>485</v>
      </c>
      <c r="E269" t="s">
        <v>486</v>
      </c>
    </row>
    <row r="270" spans="1:5" ht="15">
      <c r="A270" t="s">
        <v>13</v>
      </c>
      <c r="B270" t="s">
        <v>27</v>
      </c>
      <c r="C270" t="s">
        <v>487</v>
      </c>
      <c r="D270" s="7" t="s">
        <v>488</v>
      </c>
      <c r="E270" t="s">
        <v>489</v>
      </c>
    </row>
    <row r="271" spans="1:5" ht="15">
      <c r="A271" t="s">
        <v>13</v>
      </c>
      <c r="B271" t="s">
        <v>56</v>
      </c>
      <c r="C271" t="s">
        <v>15</v>
      </c>
      <c r="D271" s="7" t="s">
        <v>490</v>
      </c>
      <c r="E271" t="s">
        <v>468</v>
      </c>
    </row>
    <row r="272" spans="1:5" ht="15">
      <c r="A272" t="s">
        <v>13</v>
      </c>
      <c r="B272" t="s">
        <v>56</v>
      </c>
      <c r="C272" t="s">
        <v>491</v>
      </c>
      <c r="D272" s="7" t="s">
        <v>492</v>
      </c>
      <c r="E272" t="s">
        <v>486</v>
      </c>
    </row>
    <row r="273" spans="1:5" ht="15">
      <c r="A273" t="s">
        <v>13</v>
      </c>
      <c r="B273" t="s">
        <v>493</v>
      </c>
      <c r="C273" t="s">
        <v>494</v>
      </c>
      <c r="D273" s="7" t="s">
        <v>495</v>
      </c>
      <c r="E273" t="s">
        <v>496</v>
      </c>
    </row>
    <row r="274" spans="1:5" ht="15">
      <c r="A274" t="s">
        <v>13</v>
      </c>
      <c r="B274" t="s">
        <v>493</v>
      </c>
      <c r="C274" t="s">
        <v>15</v>
      </c>
      <c r="D274" s="7" t="s">
        <v>497</v>
      </c>
      <c r="E274" t="s">
        <v>468</v>
      </c>
    </row>
    <row r="275" spans="1:5" ht="15">
      <c r="A275" t="s">
        <v>13</v>
      </c>
      <c r="B275" t="s">
        <v>493</v>
      </c>
      <c r="C275" t="s">
        <v>498</v>
      </c>
      <c r="D275" s="7" t="s">
        <v>499</v>
      </c>
      <c r="E275" t="s">
        <v>500</v>
      </c>
    </row>
    <row r="276" spans="1:5" ht="15">
      <c r="A276" t="s">
        <v>13</v>
      </c>
      <c r="B276" t="s">
        <v>493</v>
      </c>
      <c r="C276" t="s">
        <v>501</v>
      </c>
      <c r="D276" s="7" t="s">
        <v>502</v>
      </c>
      <c r="E276" t="s">
        <v>503</v>
      </c>
    </row>
    <row r="277" spans="1:5" ht="15">
      <c r="A277" t="s">
        <v>13</v>
      </c>
      <c r="B277" t="s">
        <v>493</v>
      </c>
      <c r="C277" t="s">
        <v>504</v>
      </c>
      <c r="D277" s="7" t="s">
        <v>505</v>
      </c>
      <c r="E277" t="s">
        <v>503</v>
      </c>
    </row>
    <row r="278" spans="1:5" ht="30">
      <c r="A278" t="s">
        <v>13</v>
      </c>
      <c r="B278" t="s">
        <v>493</v>
      </c>
      <c r="C278" t="s">
        <v>469</v>
      </c>
      <c r="D278" s="7" t="s">
        <v>506</v>
      </c>
      <c r="E278" t="s">
        <v>471</v>
      </c>
    </row>
    <row r="279" spans="1:5" ht="15">
      <c r="A279" t="s">
        <v>13</v>
      </c>
      <c r="B279" t="s">
        <v>493</v>
      </c>
      <c r="C279" t="s">
        <v>378</v>
      </c>
      <c r="D279" s="7" t="s">
        <v>507</v>
      </c>
      <c r="E279" t="s">
        <v>508</v>
      </c>
    </row>
    <row r="280" spans="1:5" ht="30">
      <c r="A280" t="s">
        <v>13</v>
      </c>
      <c r="B280" t="s">
        <v>493</v>
      </c>
      <c r="C280" t="s">
        <v>472</v>
      </c>
      <c r="D280" s="7" t="s">
        <v>509</v>
      </c>
      <c r="E280" t="s">
        <v>474</v>
      </c>
    </row>
    <row r="281" spans="1:5" ht="15">
      <c r="A281" t="s">
        <v>13</v>
      </c>
      <c r="B281" t="s">
        <v>493</v>
      </c>
      <c r="C281" t="s">
        <v>510</v>
      </c>
      <c r="D281" s="7" t="s">
        <v>511</v>
      </c>
      <c r="E281" t="s">
        <v>512</v>
      </c>
    </row>
    <row r="282" spans="1:5" ht="15">
      <c r="A282" t="s">
        <v>13</v>
      </c>
      <c r="B282" t="s">
        <v>493</v>
      </c>
      <c r="C282" t="s">
        <v>513</v>
      </c>
      <c r="D282" s="7" t="s">
        <v>514</v>
      </c>
      <c r="E282" t="s">
        <v>515</v>
      </c>
    </row>
    <row r="283" spans="1:5" ht="15">
      <c r="A283" t="s">
        <v>13</v>
      </c>
      <c r="B283" t="s">
        <v>493</v>
      </c>
      <c r="C283" t="s">
        <v>475</v>
      </c>
      <c r="D283" s="7" t="s">
        <v>516</v>
      </c>
      <c r="E283" t="s">
        <v>477</v>
      </c>
    </row>
    <row r="284" spans="1:5" ht="30">
      <c r="A284" t="s">
        <v>13</v>
      </c>
      <c r="B284" t="s">
        <v>493</v>
      </c>
      <c r="C284" t="s">
        <v>517</v>
      </c>
      <c r="D284" s="7" t="s">
        <v>518</v>
      </c>
      <c r="E284" t="s">
        <v>519</v>
      </c>
    </row>
    <row r="285" spans="1:5" ht="15">
      <c r="A285" t="s">
        <v>13</v>
      </c>
      <c r="B285" t="s">
        <v>493</v>
      </c>
      <c r="C285" t="s">
        <v>484</v>
      </c>
      <c r="D285" s="7" t="s">
        <v>520</v>
      </c>
      <c r="E285" t="s">
        <v>486</v>
      </c>
    </row>
    <row r="286" spans="1:5" ht="15">
      <c r="A286" t="s">
        <v>13</v>
      </c>
      <c r="B286" t="s">
        <v>493</v>
      </c>
      <c r="C286" t="s">
        <v>521</v>
      </c>
      <c r="D286" s="7" t="s">
        <v>522</v>
      </c>
      <c r="E286" t="s">
        <v>523</v>
      </c>
    </row>
    <row r="287" spans="1:5" ht="15">
      <c r="A287" t="s">
        <v>13</v>
      </c>
      <c r="B287" t="s">
        <v>14</v>
      </c>
      <c r="C287" t="s">
        <v>12</v>
      </c>
      <c r="D287" s="7" t="s">
        <v>524</v>
      </c>
      <c r="E287" t="s">
        <v>33</v>
      </c>
    </row>
    <row r="288" spans="1:5" ht="15">
      <c r="A288" t="s">
        <v>13</v>
      </c>
      <c r="B288" t="s">
        <v>14</v>
      </c>
      <c r="C288" t="s">
        <v>525</v>
      </c>
      <c r="D288" s="7" t="s">
        <v>526</v>
      </c>
      <c r="E288" t="s">
        <v>33</v>
      </c>
    </row>
    <row r="289" spans="1:5" ht="15">
      <c r="A289" t="s">
        <v>13</v>
      </c>
      <c r="B289" t="s">
        <v>14</v>
      </c>
      <c r="C289" t="s">
        <v>527</v>
      </c>
      <c r="D289" s="7" t="s">
        <v>528</v>
      </c>
      <c r="E289" t="s">
        <v>496</v>
      </c>
    </row>
    <row r="290" spans="1:5" ht="15">
      <c r="A290" t="s">
        <v>13</v>
      </c>
      <c r="B290" t="s">
        <v>14</v>
      </c>
      <c r="C290" t="s">
        <v>529</v>
      </c>
      <c r="D290" s="7" t="s">
        <v>530</v>
      </c>
      <c r="E290" t="s">
        <v>48</v>
      </c>
    </row>
    <row r="291" spans="1:5" ht="15">
      <c r="A291" t="s">
        <v>13</v>
      </c>
      <c r="B291" t="s">
        <v>14</v>
      </c>
      <c r="C291" t="s">
        <v>531</v>
      </c>
      <c r="D291" s="7" t="s">
        <v>532</v>
      </c>
      <c r="E291" t="s">
        <v>48</v>
      </c>
    </row>
    <row r="292" spans="1:5" ht="15">
      <c r="A292" t="s">
        <v>13</v>
      </c>
      <c r="B292" t="s">
        <v>14</v>
      </c>
      <c r="C292" t="s">
        <v>533</v>
      </c>
      <c r="D292" s="7" t="s">
        <v>534</v>
      </c>
      <c r="E292" t="s">
        <v>48</v>
      </c>
    </row>
    <row r="293" spans="1:5" ht="30">
      <c r="A293" t="s">
        <v>13</v>
      </c>
      <c r="B293" t="s">
        <v>14</v>
      </c>
      <c r="C293" t="s">
        <v>494</v>
      </c>
      <c r="D293" s="7" t="s">
        <v>535</v>
      </c>
      <c r="E293" t="s">
        <v>496</v>
      </c>
    </row>
    <row r="294" spans="1:5" ht="15">
      <c r="A294" t="s">
        <v>13</v>
      </c>
      <c r="B294" t="s">
        <v>14</v>
      </c>
      <c r="C294" t="s">
        <v>536</v>
      </c>
      <c r="D294" s="7" t="s">
        <v>537</v>
      </c>
      <c r="E294" t="s">
        <v>538</v>
      </c>
    </row>
    <row r="295" spans="1:5" ht="15">
      <c r="A295" t="s">
        <v>13</v>
      </c>
      <c r="B295" t="s">
        <v>14</v>
      </c>
      <c r="C295" t="s">
        <v>539</v>
      </c>
      <c r="D295" s="7" t="s">
        <v>540</v>
      </c>
      <c r="E295" t="s">
        <v>538</v>
      </c>
    </row>
    <row r="296" spans="1:5" ht="15">
      <c r="A296" t="s">
        <v>13</v>
      </c>
      <c r="B296" t="s">
        <v>14</v>
      </c>
      <c r="C296" t="s">
        <v>541</v>
      </c>
      <c r="D296" s="7" t="s">
        <v>542</v>
      </c>
      <c r="E296" t="s">
        <v>543</v>
      </c>
    </row>
    <row r="297" spans="1:5" ht="15">
      <c r="A297" t="s">
        <v>13</v>
      </c>
      <c r="B297" t="s">
        <v>14</v>
      </c>
      <c r="C297" t="s">
        <v>544</v>
      </c>
      <c r="D297" s="7" t="s">
        <v>545</v>
      </c>
      <c r="E297" t="s">
        <v>48</v>
      </c>
    </row>
    <row r="298" spans="1:5" ht="15">
      <c r="A298" t="s">
        <v>13</v>
      </c>
      <c r="B298" t="s">
        <v>14</v>
      </c>
      <c r="C298" t="s">
        <v>546</v>
      </c>
      <c r="D298" s="7" t="s">
        <v>547</v>
      </c>
      <c r="E298" t="s">
        <v>548</v>
      </c>
    </row>
    <row r="299" spans="1:5" ht="30">
      <c r="A299" t="s">
        <v>13</v>
      </c>
      <c r="B299" t="s">
        <v>14</v>
      </c>
      <c r="C299" t="s">
        <v>15</v>
      </c>
      <c r="D299" s="7" t="s">
        <v>549</v>
      </c>
      <c r="E299" t="s">
        <v>468</v>
      </c>
    </row>
    <row r="300" spans="1:5" ht="30">
      <c r="A300" t="s">
        <v>13</v>
      </c>
      <c r="B300" t="s">
        <v>14</v>
      </c>
      <c r="C300" t="s">
        <v>498</v>
      </c>
      <c r="D300" s="7" t="s">
        <v>550</v>
      </c>
      <c r="E300" t="s">
        <v>500</v>
      </c>
    </row>
    <row r="301" spans="1:5" ht="30">
      <c r="A301" t="s">
        <v>13</v>
      </c>
      <c r="B301" t="s">
        <v>14</v>
      </c>
      <c r="C301" t="s">
        <v>551</v>
      </c>
      <c r="D301" s="7" t="s">
        <v>552</v>
      </c>
      <c r="E301" t="s">
        <v>503</v>
      </c>
    </row>
    <row r="302" spans="1:5" ht="30">
      <c r="A302" t="s">
        <v>13</v>
      </c>
      <c r="B302" t="s">
        <v>14</v>
      </c>
      <c r="C302" t="s">
        <v>553</v>
      </c>
      <c r="D302" s="7" t="s">
        <v>554</v>
      </c>
      <c r="E302" t="s">
        <v>503</v>
      </c>
    </row>
    <row r="303" spans="1:5" ht="15">
      <c r="A303" t="s">
        <v>13</v>
      </c>
      <c r="B303" t="s">
        <v>14</v>
      </c>
      <c r="C303" t="s">
        <v>555</v>
      </c>
      <c r="D303" s="7" t="s">
        <v>556</v>
      </c>
      <c r="E303" t="s">
        <v>48</v>
      </c>
    </row>
    <row r="304" spans="1:5" ht="15">
      <c r="A304" t="s">
        <v>13</v>
      </c>
      <c r="B304" t="s">
        <v>14</v>
      </c>
      <c r="C304" t="s">
        <v>557</v>
      </c>
      <c r="D304" s="7" t="s">
        <v>558</v>
      </c>
      <c r="E304" t="s">
        <v>33</v>
      </c>
    </row>
    <row r="305" spans="1:5" ht="15">
      <c r="A305" t="s">
        <v>13</v>
      </c>
      <c r="B305" t="s">
        <v>14</v>
      </c>
      <c r="C305" t="s">
        <v>559</v>
      </c>
      <c r="D305" s="7" t="s">
        <v>560</v>
      </c>
      <c r="E305" t="s">
        <v>48</v>
      </c>
    </row>
    <row r="306" spans="1:5" ht="15">
      <c r="A306" t="s">
        <v>13</v>
      </c>
      <c r="B306" t="s">
        <v>14</v>
      </c>
      <c r="C306" t="s">
        <v>561</v>
      </c>
      <c r="D306" s="7" t="s">
        <v>562</v>
      </c>
      <c r="E306" t="s">
        <v>471</v>
      </c>
    </row>
    <row r="307" spans="1:5" ht="15">
      <c r="A307" t="s">
        <v>13</v>
      </c>
      <c r="B307" t="s">
        <v>14</v>
      </c>
      <c r="C307" t="s">
        <v>469</v>
      </c>
      <c r="D307" s="7" t="s">
        <v>563</v>
      </c>
      <c r="E307" t="s">
        <v>471</v>
      </c>
    </row>
    <row r="308" spans="1:5" ht="15">
      <c r="A308" t="s">
        <v>13</v>
      </c>
      <c r="B308" t="s">
        <v>14</v>
      </c>
      <c r="C308" t="s">
        <v>178</v>
      </c>
      <c r="D308" s="7" t="s">
        <v>564</v>
      </c>
      <c r="E308" t="s">
        <v>477</v>
      </c>
    </row>
    <row r="309" spans="1:5" ht="15">
      <c r="A309" t="s">
        <v>13</v>
      </c>
      <c r="B309" t="s">
        <v>14</v>
      </c>
      <c r="C309" t="s">
        <v>565</v>
      </c>
      <c r="D309" s="7" t="s">
        <v>566</v>
      </c>
      <c r="E309" t="s">
        <v>508</v>
      </c>
    </row>
    <row r="310" spans="1:5" ht="15">
      <c r="A310" t="s">
        <v>13</v>
      </c>
      <c r="B310" t="s">
        <v>14</v>
      </c>
      <c r="C310" t="s">
        <v>567</v>
      </c>
      <c r="D310" s="7" t="s">
        <v>568</v>
      </c>
      <c r="E310" t="s">
        <v>508</v>
      </c>
    </row>
    <row r="311" spans="1:5" ht="15">
      <c r="A311" t="s">
        <v>13</v>
      </c>
      <c r="B311" t="s">
        <v>14</v>
      </c>
      <c r="C311" t="s">
        <v>569</v>
      </c>
      <c r="D311" s="7" t="s">
        <v>570</v>
      </c>
      <c r="E311" t="s">
        <v>508</v>
      </c>
    </row>
    <row r="312" spans="1:5" ht="15">
      <c r="A312" t="s">
        <v>13</v>
      </c>
      <c r="B312" t="s">
        <v>14</v>
      </c>
      <c r="C312" t="s">
        <v>571</v>
      </c>
      <c r="D312" s="7" t="s">
        <v>572</v>
      </c>
      <c r="E312" t="s">
        <v>573</v>
      </c>
    </row>
    <row r="313" spans="1:5" ht="30">
      <c r="A313" t="s">
        <v>13</v>
      </c>
      <c r="B313" t="s">
        <v>14</v>
      </c>
      <c r="C313" t="s">
        <v>472</v>
      </c>
      <c r="D313" s="7" t="s">
        <v>574</v>
      </c>
      <c r="E313" t="s">
        <v>474</v>
      </c>
    </row>
    <row r="314" spans="1:5" ht="30">
      <c r="A314" t="s">
        <v>13</v>
      </c>
      <c r="B314" t="s">
        <v>14</v>
      </c>
      <c r="C314" t="s">
        <v>575</v>
      </c>
      <c r="D314" s="7" t="s">
        <v>576</v>
      </c>
      <c r="E314" t="s">
        <v>474</v>
      </c>
    </row>
    <row r="315" spans="1:5" ht="30">
      <c r="A315" t="s">
        <v>13</v>
      </c>
      <c r="B315" t="s">
        <v>14</v>
      </c>
      <c r="C315" t="s">
        <v>577</v>
      </c>
      <c r="D315" s="7" t="s">
        <v>578</v>
      </c>
      <c r="E315" t="s">
        <v>474</v>
      </c>
    </row>
    <row r="316" spans="1:5" ht="15">
      <c r="A316" t="s">
        <v>13</v>
      </c>
      <c r="B316" t="s">
        <v>14</v>
      </c>
      <c r="C316" t="s">
        <v>579</v>
      </c>
      <c r="D316" s="7" t="s">
        <v>580</v>
      </c>
      <c r="E316" t="s">
        <v>474</v>
      </c>
    </row>
    <row r="317" spans="1:5" ht="15">
      <c r="A317" t="s">
        <v>13</v>
      </c>
      <c r="B317" t="s">
        <v>14</v>
      </c>
      <c r="C317" t="s">
        <v>581</v>
      </c>
      <c r="D317" s="7" t="s">
        <v>582</v>
      </c>
      <c r="E317" t="s">
        <v>33</v>
      </c>
    </row>
    <row r="318" spans="1:5" ht="15">
      <c r="A318" t="s">
        <v>13</v>
      </c>
      <c r="B318" t="s">
        <v>14</v>
      </c>
      <c r="C318" t="s">
        <v>583</v>
      </c>
      <c r="D318" s="7" t="s">
        <v>584</v>
      </c>
      <c r="E318" t="s">
        <v>512</v>
      </c>
    </row>
    <row r="319" spans="1:5" ht="15">
      <c r="A319" t="s">
        <v>13</v>
      </c>
      <c r="B319" t="s">
        <v>14</v>
      </c>
      <c r="C319" t="s">
        <v>510</v>
      </c>
      <c r="D319" s="7" t="s">
        <v>585</v>
      </c>
      <c r="E319" t="s">
        <v>512</v>
      </c>
    </row>
    <row r="320" spans="1:5" ht="15">
      <c r="A320" t="s">
        <v>13</v>
      </c>
      <c r="B320" t="s">
        <v>14</v>
      </c>
      <c r="C320" t="s">
        <v>586</v>
      </c>
      <c r="D320" s="7" t="s">
        <v>587</v>
      </c>
      <c r="E320" t="s">
        <v>512</v>
      </c>
    </row>
    <row r="321" spans="1:5" ht="15">
      <c r="A321" t="s">
        <v>13</v>
      </c>
      <c r="B321" t="s">
        <v>14</v>
      </c>
      <c r="C321" t="s">
        <v>588</v>
      </c>
      <c r="D321" s="7" t="s">
        <v>589</v>
      </c>
      <c r="E321" t="s">
        <v>512</v>
      </c>
    </row>
    <row r="322" spans="1:5" ht="15">
      <c r="A322" t="s">
        <v>13</v>
      </c>
      <c r="B322" t="s">
        <v>14</v>
      </c>
      <c r="C322" t="s">
        <v>590</v>
      </c>
      <c r="D322" s="7" t="s">
        <v>591</v>
      </c>
      <c r="E322" t="s">
        <v>48</v>
      </c>
    </row>
    <row r="323" spans="1:5" ht="15">
      <c r="A323" t="s">
        <v>13</v>
      </c>
      <c r="B323" t="s">
        <v>14</v>
      </c>
      <c r="C323" t="s">
        <v>592</v>
      </c>
      <c r="D323" s="7" t="s">
        <v>593</v>
      </c>
      <c r="E323" t="s">
        <v>594</v>
      </c>
    </row>
    <row r="324" spans="1:5" ht="15">
      <c r="A324" t="s">
        <v>13</v>
      </c>
      <c r="B324" t="s">
        <v>14</v>
      </c>
      <c r="C324" t="s">
        <v>595</v>
      </c>
      <c r="D324" s="7" t="s">
        <v>596</v>
      </c>
      <c r="E324" t="s">
        <v>597</v>
      </c>
    </row>
    <row r="325" spans="1:5" ht="15">
      <c r="A325" t="s">
        <v>13</v>
      </c>
      <c r="B325" t="s">
        <v>14</v>
      </c>
      <c r="C325" t="s">
        <v>598</v>
      </c>
      <c r="D325" s="7" t="s">
        <v>599</v>
      </c>
      <c r="E325" t="s">
        <v>600</v>
      </c>
    </row>
    <row r="326" spans="1:5" ht="15">
      <c r="A326" t="s">
        <v>13</v>
      </c>
      <c r="B326" t="s">
        <v>14</v>
      </c>
      <c r="C326" t="s">
        <v>601</v>
      </c>
      <c r="D326" s="7" t="s">
        <v>602</v>
      </c>
      <c r="E326" t="s">
        <v>496</v>
      </c>
    </row>
    <row r="327" spans="1:5" ht="15">
      <c r="A327" t="s">
        <v>13</v>
      </c>
      <c r="B327" t="s">
        <v>14</v>
      </c>
      <c r="C327" t="s">
        <v>603</v>
      </c>
      <c r="D327" s="7" t="s">
        <v>604</v>
      </c>
      <c r="E327" t="s">
        <v>496</v>
      </c>
    </row>
    <row r="328" spans="1:5" ht="15">
      <c r="A328" t="s">
        <v>13</v>
      </c>
      <c r="B328" t="s">
        <v>14</v>
      </c>
      <c r="C328" t="s">
        <v>605</v>
      </c>
      <c r="D328" s="7" t="s">
        <v>606</v>
      </c>
      <c r="E328" t="s">
        <v>515</v>
      </c>
    </row>
    <row r="329" spans="1:5" ht="15">
      <c r="A329" t="s">
        <v>13</v>
      </c>
      <c r="B329" t="s">
        <v>14</v>
      </c>
      <c r="C329" t="s">
        <v>607</v>
      </c>
      <c r="D329" s="7" t="s">
        <v>608</v>
      </c>
      <c r="E329" t="s">
        <v>515</v>
      </c>
    </row>
    <row r="330" spans="1:5" ht="15">
      <c r="A330" t="s">
        <v>13</v>
      </c>
      <c r="B330" t="s">
        <v>14</v>
      </c>
      <c r="C330" t="s">
        <v>609</v>
      </c>
      <c r="D330" s="7" t="s">
        <v>610</v>
      </c>
      <c r="E330" t="s">
        <v>611</v>
      </c>
    </row>
    <row r="331" spans="1:5" ht="15">
      <c r="A331" t="s">
        <v>13</v>
      </c>
      <c r="B331" t="s">
        <v>14</v>
      </c>
      <c r="C331" t="s">
        <v>612</v>
      </c>
      <c r="D331" s="7" t="s">
        <v>613</v>
      </c>
      <c r="E331" t="s">
        <v>480</v>
      </c>
    </row>
    <row r="332" spans="1:5" ht="15">
      <c r="A332" t="s">
        <v>13</v>
      </c>
      <c r="B332" t="s">
        <v>14</v>
      </c>
      <c r="C332" t="s">
        <v>614</v>
      </c>
      <c r="D332" s="7" t="s">
        <v>615</v>
      </c>
      <c r="E332" t="s">
        <v>480</v>
      </c>
    </row>
    <row r="333" spans="1:5" ht="15">
      <c r="A333" t="s">
        <v>13</v>
      </c>
      <c r="B333" t="s">
        <v>14</v>
      </c>
      <c r="C333" t="s">
        <v>616</v>
      </c>
      <c r="D333" s="7" t="s">
        <v>617</v>
      </c>
      <c r="E333" t="s">
        <v>618</v>
      </c>
    </row>
    <row r="334" spans="1:5" ht="15">
      <c r="A334" t="s">
        <v>13</v>
      </c>
      <c r="B334" t="s">
        <v>14</v>
      </c>
      <c r="C334" t="s">
        <v>619</v>
      </c>
      <c r="D334" s="7" t="s">
        <v>620</v>
      </c>
      <c r="E334" t="s">
        <v>515</v>
      </c>
    </row>
    <row r="335" spans="1:5" ht="15">
      <c r="A335" t="s">
        <v>13</v>
      </c>
      <c r="B335" t="s">
        <v>14</v>
      </c>
      <c r="C335" t="s">
        <v>621</v>
      </c>
      <c r="D335" s="7" t="s">
        <v>622</v>
      </c>
      <c r="E335" t="s">
        <v>48</v>
      </c>
    </row>
    <row r="336" spans="1:5" ht="15">
      <c r="A336" t="s">
        <v>13</v>
      </c>
      <c r="B336" t="s">
        <v>14</v>
      </c>
      <c r="C336" t="s">
        <v>623</v>
      </c>
      <c r="D336" s="7" t="s">
        <v>624</v>
      </c>
      <c r="E336" t="s">
        <v>48</v>
      </c>
    </row>
    <row r="337" spans="1:5" ht="15">
      <c r="A337" t="s">
        <v>13</v>
      </c>
      <c r="B337" t="s">
        <v>14</v>
      </c>
      <c r="C337" t="s">
        <v>625</v>
      </c>
      <c r="D337" s="7" t="s">
        <v>626</v>
      </c>
      <c r="E337" t="s">
        <v>48</v>
      </c>
    </row>
    <row r="338" spans="1:5" ht="15">
      <c r="A338" t="s">
        <v>13</v>
      </c>
      <c r="B338" t="s">
        <v>14</v>
      </c>
      <c r="C338" t="s">
        <v>513</v>
      </c>
      <c r="D338" s="7" t="s">
        <v>627</v>
      </c>
      <c r="E338" t="s">
        <v>515</v>
      </c>
    </row>
    <row r="339" spans="1:5" ht="15">
      <c r="A339" t="s">
        <v>13</v>
      </c>
      <c r="B339" t="s">
        <v>14</v>
      </c>
      <c r="C339" t="s">
        <v>475</v>
      </c>
      <c r="D339" s="7" t="s">
        <v>628</v>
      </c>
      <c r="E339" t="s">
        <v>477</v>
      </c>
    </row>
    <row r="340" spans="1:5" ht="15">
      <c r="A340" t="s">
        <v>13</v>
      </c>
      <c r="B340" t="s">
        <v>14</v>
      </c>
      <c r="C340" t="s">
        <v>629</v>
      </c>
      <c r="D340" s="7" t="s">
        <v>630</v>
      </c>
      <c r="E340" t="s">
        <v>631</v>
      </c>
    </row>
    <row r="341" spans="1:5" ht="15">
      <c r="A341" t="s">
        <v>13</v>
      </c>
      <c r="B341" t="s">
        <v>14</v>
      </c>
      <c r="C341" t="s">
        <v>632</v>
      </c>
      <c r="D341" s="7" t="s">
        <v>633</v>
      </c>
      <c r="E341" t="s">
        <v>48</v>
      </c>
    </row>
    <row r="342" spans="1:5" ht="15">
      <c r="A342" t="s">
        <v>13</v>
      </c>
      <c r="B342" t="s">
        <v>14</v>
      </c>
      <c r="C342" t="s">
        <v>634</v>
      </c>
      <c r="D342" s="7" t="s">
        <v>635</v>
      </c>
      <c r="E342" t="s">
        <v>48</v>
      </c>
    </row>
    <row r="343" spans="1:5" ht="15">
      <c r="A343" t="s">
        <v>13</v>
      </c>
      <c r="B343" t="s">
        <v>14</v>
      </c>
      <c r="C343" t="s">
        <v>517</v>
      </c>
      <c r="D343" s="7" t="s">
        <v>636</v>
      </c>
      <c r="E343" t="s">
        <v>519</v>
      </c>
    </row>
    <row r="344" spans="1:5" ht="15">
      <c r="A344" t="s">
        <v>13</v>
      </c>
      <c r="B344" t="s">
        <v>14</v>
      </c>
      <c r="C344" t="s">
        <v>637</v>
      </c>
      <c r="D344" s="7" t="s">
        <v>638</v>
      </c>
      <c r="E344" t="s">
        <v>639</v>
      </c>
    </row>
    <row r="345" spans="1:5" ht="15">
      <c r="A345" t="s">
        <v>13</v>
      </c>
      <c r="B345" t="s">
        <v>14</v>
      </c>
      <c r="C345" t="s">
        <v>640</v>
      </c>
      <c r="D345" s="7" t="s">
        <v>641</v>
      </c>
      <c r="E345" t="s">
        <v>480</v>
      </c>
    </row>
    <row r="346" spans="1:5" ht="30">
      <c r="A346" t="s">
        <v>13</v>
      </c>
      <c r="B346" t="s">
        <v>14</v>
      </c>
      <c r="C346" t="s">
        <v>642</v>
      </c>
      <c r="D346" s="7" t="s">
        <v>643</v>
      </c>
      <c r="E346" t="s">
        <v>33</v>
      </c>
    </row>
    <row r="347" spans="1:5" ht="30">
      <c r="A347" t="s">
        <v>13</v>
      </c>
      <c r="B347" t="s">
        <v>14</v>
      </c>
      <c r="C347" t="s">
        <v>644</v>
      </c>
      <c r="D347" s="7" t="s">
        <v>645</v>
      </c>
      <c r="E347" t="s">
        <v>480</v>
      </c>
    </row>
    <row r="348" spans="1:5" ht="30">
      <c r="A348" t="s">
        <v>13</v>
      </c>
      <c r="B348" t="s">
        <v>14</v>
      </c>
      <c r="C348" t="s">
        <v>478</v>
      </c>
      <c r="D348" s="7" t="s">
        <v>646</v>
      </c>
      <c r="E348" t="s">
        <v>480</v>
      </c>
    </row>
    <row r="349" spans="1:5" ht="15">
      <c r="A349" t="s">
        <v>13</v>
      </c>
      <c r="B349" t="s">
        <v>14</v>
      </c>
      <c r="C349" t="s">
        <v>647</v>
      </c>
      <c r="D349" s="7" t="s">
        <v>648</v>
      </c>
      <c r="E349" t="s">
        <v>480</v>
      </c>
    </row>
    <row r="350" spans="1:5" ht="30">
      <c r="A350" t="s">
        <v>13</v>
      </c>
      <c r="B350" t="s">
        <v>14</v>
      </c>
      <c r="C350" t="s">
        <v>649</v>
      </c>
      <c r="D350" s="7" t="s">
        <v>650</v>
      </c>
      <c r="E350" t="s">
        <v>483</v>
      </c>
    </row>
    <row r="351" spans="1:5" ht="15">
      <c r="A351" t="s">
        <v>13</v>
      </c>
      <c r="B351" t="s">
        <v>14</v>
      </c>
      <c r="C351" t="s">
        <v>481</v>
      </c>
      <c r="D351" s="7" t="s">
        <v>651</v>
      </c>
      <c r="E351" t="s">
        <v>483</v>
      </c>
    </row>
    <row r="352" spans="1:5" ht="15">
      <c r="A352" t="s">
        <v>13</v>
      </c>
      <c r="B352" t="s">
        <v>14</v>
      </c>
      <c r="C352" t="s">
        <v>652</v>
      </c>
      <c r="D352" s="7" t="s">
        <v>653</v>
      </c>
      <c r="E352" t="s">
        <v>483</v>
      </c>
    </row>
    <row r="353" spans="1:5" ht="15">
      <c r="A353" t="s">
        <v>13</v>
      </c>
      <c r="B353" t="s">
        <v>14</v>
      </c>
      <c r="C353" t="s">
        <v>654</v>
      </c>
      <c r="D353" s="7" t="s">
        <v>655</v>
      </c>
      <c r="E353" t="s">
        <v>656</v>
      </c>
    </row>
    <row r="354" spans="1:5" ht="30">
      <c r="A354" t="s">
        <v>13</v>
      </c>
      <c r="B354" t="s">
        <v>14</v>
      </c>
      <c r="C354" t="s">
        <v>484</v>
      </c>
      <c r="D354" s="7" t="s">
        <v>657</v>
      </c>
      <c r="E354" t="s">
        <v>486</v>
      </c>
    </row>
    <row r="355" spans="1:5" ht="30">
      <c r="A355" t="s">
        <v>13</v>
      </c>
      <c r="B355" t="s">
        <v>14</v>
      </c>
      <c r="C355" t="s">
        <v>491</v>
      </c>
      <c r="D355" s="7" t="s">
        <v>658</v>
      </c>
      <c r="E355" t="s">
        <v>486</v>
      </c>
    </row>
    <row r="356" spans="1:5" ht="30">
      <c r="A356" t="s">
        <v>13</v>
      </c>
      <c r="B356" t="s">
        <v>14</v>
      </c>
      <c r="C356" t="s">
        <v>659</v>
      </c>
      <c r="D356" s="7" t="s">
        <v>660</v>
      </c>
      <c r="E356" t="s">
        <v>486</v>
      </c>
    </row>
    <row r="357" spans="1:5" ht="15">
      <c r="A357" t="s">
        <v>13</v>
      </c>
      <c r="B357" t="s">
        <v>14</v>
      </c>
      <c r="C357" t="s">
        <v>661</v>
      </c>
      <c r="D357" s="7" t="s">
        <v>662</v>
      </c>
      <c r="E357" t="s">
        <v>486</v>
      </c>
    </row>
    <row r="358" spans="1:5" ht="15">
      <c r="A358" t="s">
        <v>13</v>
      </c>
      <c r="B358" t="s">
        <v>14</v>
      </c>
      <c r="C358" t="s">
        <v>663</v>
      </c>
      <c r="D358" s="7" t="s">
        <v>664</v>
      </c>
      <c r="E358" t="s">
        <v>48</v>
      </c>
    </row>
    <row r="359" spans="1:5" ht="15">
      <c r="A359" t="s">
        <v>13</v>
      </c>
      <c r="B359" t="s">
        <v>14</v>
      </c>
      <c r="C359" t="s">
        <v>665</v>
      </c>
      <c r="D359" s="7" t="s">
        <v>666</v>
      </c>
      <c r="E359" t="s">
        <v>48</v>
      </c>
    </row>
    <row r="360" spans="1:5" ht="15">
      <c r="A360" t="s">
        <v>13</v>
      </c>
      <c r="B360" t="s">
        <v>14</v>
      </c>
      <c r="C360" t="s">
        <v>667</v>
      </c>
      <c r="D360" s="7" t="s">
        <v>668</v>
      </c>
      <c r="E360" t="s">
        <v>48</v>
      </c>
    </row>
    <row r="361" spans="1:5" ht="15">
      <c r="A361" t="s">
        <v>13</v>
      </c>
      <c r="B361" t="s">
        <v>14</v>
      </c>
      <c r="C361" t="s">
        <v>521</v>
      </c>
      <c r="D361" s="7" t="s">
        <v>669</v>
      </c>
      <c r="E361" t="s">
        <v>523</v>
      </c>
    </row>
    <row r="362" spans="1:5" ht="15">
      <c r="A362" t="s">
        <v>13</v>
      </c>
      <c r="B362" t="s">
        <v>14</v>
      </c>
      <c r="C362" t="s">
        <v>487</v>
      </c>
      <c r="D362" s="7" t="s">
        <v>670</v>
      </c>
      <c r="E362" t="s">
        <v>489</v>
      </c>
    </row>
    <row r="363" spans="1:5" ht="30">
      <c r="A363" t="s">
        <v>13</v>
      </c>
      <c r="B363" t="s">
        <v>671</v>
      </c>
      <c r="C363" t="s">
        <v>672</v>
      </c>
      <c r="D363" s="7" t="s">
        <v>673</v>
      </c>
      <c r="E363" t="s">
        <v>33</v>
      </c>
    </row>
    <row r="364" spans="1:5" ht="30">
      <c r="A364" t="s">
        <v>13</v>
      </c>
      <c r="B364" t="s">
        <v>671</v>
      </c>
      <c r="C364" t="s">
        <v>674</v>
      </c>
      <c r="D364" s="7" t="s">
        <v>675</v>
      </c>
      <c r="E364" t="s">
        <v>474</v>
      </c>
    </row>
    <row r="365" spans="1:5" ht="30">
      <c r="A365" t="s">
        <v>13</v>
      </c>
      <c r="B365" t="s">
        <v>671</v>
      </c>
      <c r="C365" t="s">
        <v>676</v>
      </c>
      <c r="D365" s="7" t="s">
        <v>677</v>
      </c>
      <c r="E365" t="s">
        <v>480</v>
      </c>
    </row>
    <row r="366" spans="1:5" ht="15">
      <c r="A366" t="s">
        <v>13</v>
      </c>
      <c r="B366" t="s">
        <v>671</v>
      </c>
      <c r="C366" t="s">
        <v>678</v>
      </c>
      <c r="D366" s="7" t="s">
        <v>679</v>
      </c>
      <c r="E366" t="s">
        <v>483</v>
      </c>
    </row>
    <row r="367" spans="1:5" ht="15">
      <c r="A367" t="s">
        <v>13</v>
      </c>
      <c r="B367" t="s">
        <v>671</v>
      </c>
      <c r="C367" t="s">
        <v>680</v>
      </c>
      <c r="D367" s="7" t="s">
        <v>681</v>
      </c>
      <c r="E367" t="s">
        <v>486</v>
      </c>
    </row>
    <row r="368" spans="1:5" ht="15">
      <c r="A368" t="s">
        <v>13</v>
      </c>
      <c r="B368" t="s">
        <v>671</v>
      </c>
      <c r="C368" t="s">
        <v>472</v>
      </c>
      <c r="D368" s="7" t="s">
        <v>682</v>
      </c>
      <c r="E368" t="s">
        <v>474</v>
      </c>
    </row>
    <row r="369" spans="1:5" ht="15">
      <c r="A369" t="s">
        <v>13</v>
      </c>
      <c r="B369" t="s">
        <v>671</v>
      </c>
      <c r="C369" t="s">
        <v>612</v>
      </c>
      <c r="D369" s="7" t="s">
        <v>683</v>
      </c>
      <c r="E369" t="s">
        <v>480</v>
      </c>
    </row>
    <row r="370" spans="1:5" ht="15">
      <c r="A370" t="s">
        <v>13</v>
      </c>
      <c r="B370" t="s">
        <v>671</v>
      </c>
      <c r="C370" t="s">
        <v>621</v>
      </c>
      <c r="D370" s="7" t="s">
        <v>684</v>
      </c>
      <c r="E370" t="s">
        <v>48</v>
      </c>
    </row>
    <row r="371" spans="1:5" ht="30">
      <c r="A371" t="s">
        <v>13</v>
      </c>
      <c r="B371" t="s">
        <v>671</v>
      </c>
      <c r="C371" t="s">
        <v>685</v>
      </c>
      <c r="D371" s="7" t="s">
        <v>686</v>
      </c>
      <c r="E371" t="s">
        <v>48</v>
      </c>
    </row>
    <row r="372" spans="1:5" ht="15">
      <c r="A372" t="s">
        <v>13</v>
      </c>
      <c r="B372" t="s">
        <v>671</v>
      </c>
      <c r="C372" t="s">
        <v>644</v>
      </c>
      <c r="D372" s="7" t="s">
        <v>687</v>
      </c>
      <c r="E372" t="s">
        <v>480</v>
      </c>
    </row>
    <row r="373" spans="1:5" ht="15">
      <c r="A373" t="s">
        <v>13</v>
      </c>
      <c r="B373" t="s">
        <v>671</v>
      </c>
      <c r="C373" t="s">
        <v>649</v>
      </c>
      <c r="D373" s="7" t="s">
        <v>688</v>
      </c>
      <c r="E373" t="s">
        <v>483</v>
      </c>
    </row>
    <row r="374" spans="1:5" ht="15">
      <c r="A374" t="s">
        <v>13</v>
      </c>
      <c r="B374" t="s">
        <v>671</v>
      </c>
      <c r="C374" t="s">
        <v>484</v>
      </c>
      <c r="D374" s="7" t="s">
        <v>689</v>
      </c>
      <c r="E374" t="s">
        <v>486</v>
      </c>
    </row>
    <row r="375" spans="1:5" ht="15">
      <c r="A375" t="s">
        <v>13</v>
      </c>
      <c r="B375" t="s">
        <v>690</v>
      </c>
      <c r="C375" t="s">
        <v>12</v>
      </c>
      <c r="D375" s="7" t="s">
        <v>691</v>
      </c>
      <c r="E375" t="s">
        <v>33</v>
      </c>
    </row>
    <row r="376" spans="1:5" ht="30">
      <c r="A376" t="s">
        <v>13</v>
      </c>
      <c r="B376" t="s">
        <v>690</v>
      </c>
      <c r="C376" t="s">
        <v>525</v>
      </c>
      <c r="D376" s="7" t="s">
        <v>692</v>
      </c>
      <c r="E376" t="s">
        <v>33</v>
      </c>
    </row>
    <row r="377" spans="1:5" ht="15">
      <c r="A377" t="s">
        <v>13</v>
      </c>
      <c r="B377" t="s">
        <v>690</v>
      </c>
      <c r="C377" t="s">
        <v>693</v>
      </c>
      <c r="D377" s="7" t="s">
        <v>694</v>
      </c>
      <c r="E377" t="s">
        <v>48</v>
      </c>
    </row>
    <row r="378" spans="1:5" ht="15">
      <c r="A378" t="s">
        <v>13</v>
      </c>
      <c r="B378" t="s">
        <v>690</v>
      </c>
      <c r="C378" t="s">
        <v>533</v>
      </c>
      <c r="D378" s="7" t="s">
        <v>695</v>
      </c>
      <c r="E378" t="s">
        <v>48</v>
      </c>
    </row>
    <row r="379" spans="1:5" ht="30">
      <c r="A379" t="s">
        <v>13</v>
      </c>
      <c r="B379" t="s">
        <v>690</v>
      </c>
      <c r="C379" t="s">
        <v>494</v>
      </c>
      <c r="D379" s="7" t="s">
        <v>696</v>
      </c>
      <c r="E379" t="s">
        <v>496</v>
      </c>
    </row>
    <row r="380" spans="1:5" ht="30">
      <c r="A380" t="s">
        <v>13</v>
      </c>
      <c r="B380" t="s">
        <v>690</v>
      </c>
      <c r="C380" t="s">
        <v>536</v>
      </c>
      <c r="D380" s="7" t="s">
        <v>697</v>
      </c>
      <c r="E380" t="s">
        <v>538</v>
      </c>
    </row>
    <row r="381" spans="1:5" ht="15">
      <c r="A381" t="s">
        <v>13</v>
      </c>
      <c r="B381" t="s">
        <v>690</v>
      </c>
      <c r="C381" t="s">
        <v>15</v>
      </c>
      <c r="D381" s="7" t="s">
        <v>698</v>
      </c>
      <c r="E381" t="s">
        <v>468</v>
      </c>
    </row>
    <row r="382" spans="1:5" ht="15">
      <c r="A382" t="s">
        <v>13</v>
      </c>
      <c r="B382" t="s">
        <v>690</v>
      </c>
      <c r="C382" t="s">
        <v>498</v>
      </c>
      <c r="D382" s="7" t="s">
        <v>699</v>
      </c>
      <c r="E382" t="s">
        <v>500</v>
      </c>
    </row>
    <row r="383" spans="1:5" ht="15">
      <c r="A383" t="s">
        <v>13</v>
      </c>
      <c r="B383" t="s">
        <v>690</v>
      </c>
      <c r="C383" t="s">
        <v>501</v>
      </c>
      <c r="D383" s="7" t="s">
        <v>700</v>
      </c>
      <c r="E383" t="s">
        <v>503</v>
      </c>
    </row>
    <row r="384" spans="1:5" ht="15">
      <c r="A384" t="s">
        <v>13</v>
      </c>
      <c r="B384" t="s">
        <v>690</v>
      </c>
      <c r="C384" t="s">
        <v>504</v>
      </c>
      <c r="D384" s="7" t="s">
        <v>701</v>
      </c>
      <c r="E384" t="s">
        <v>503</v>
      </c>
    </row>
    <row r="385" spans="1:5" ht="30">
      <c r="A385" t="s">
        <v>13</v>
      </c>
      <c r="B385" t="s">
        <v>690</v>
      </c>
      <c r="C385" t="s">
        <v>469</v>
      </c>
      <c r="D385" s="7" t="s">
        <v>702</v>
      </c>
      <c r="E385" t="s">
        <v>471</v>
      </c>
    </row>
    <row r="386" spans="1:5" ht="30">
      <c r="A386" t="s">
        <v>13</v>
      </c>
      <c r="B386" t="s">
        <v>690</v>
      </c>
      <c r="C386" t="s">
        <v>567</v>
      </c>
      <c r="D386" s="7" t="s">
        <v>703</v>
      </c>
      <c r="E386" t="s">
        <v>508</v>
      </c>
    </row>
    <row r="387" spans="1:5" ht="15">
      <c r="A387" t="s">
        <v>13</v>
      </c>
      <c r="B387" t="s">
        <v>690</v>
      </c>
      <c r="C387" t="s">
        <v>472</v>
      </c>
      <c r="D387" s="7" t="s">
        <v>704</v>
      </c>
      <c r="E387" t="s">
        <v>474</v>
      </c>
    </row>
    <row r="388" spans="1:5" ht="15">
      <c r="A388" t="s">
        <v>13</v>
      </c>
      <c r="B388" t="s">
        <v>690</v>
      </c>
      <c r="C388" t="s">
        <v>586</v>
      </c>
      <c r="D388" s="7" t="s">
        <v>705</v>
      </c>
      <c r="E388" t="s">
        <v>512</v>
      </c>
    </row>
    <row r="389" spans="1:5" ht="30">
      <c r="A389" t="s">
        <v>13</v>
      </c>
      <c r="B389" t="s">
        <v>690</v>
      </c>
      <c r="C389" t="s">
        <v>588</v>
      </c>
      <c r="D389" s="7" t="s">
        <v>706</v>
      </c>
      <c r="E389" t="s">
        <v>512</v>
      </c>
    </row>
    <row r="390" spans="1:5" ht="30">
      <c r="A390" t="s">
        <v>13</v>
      </c>
      <c r="B390" t="s">
        <v>690</v>
      </c>
      <c r="C390" t="s">
        <v>595</v>
      </c>
      <c r="D390" s="7" t="s">
        <v>707</v>
      </c>
      <c r="E390" t="s">
        <v>597</v>
      </c>
    </row>
    <row r="391" spans="1:5" ht="30">
      <c r="A391" t="s">
        <v>13</v>
      </c>
      <c r="B391" t="s">
        <v>690</v>
      </c>
      <c r="C391" t="s">
        <v>603</v>
      </c>
      <c r="D391" s="7" t="s">
        <v>708</v>
      </c>
      <c r="E391" t="s">
        <v>496</v>
      </c>
    </row>
    <row r="392" spans="1:5" ht="30">
      <c r="A392" t="s">
        <v>13</v>
      </c>
      <c r="B392" t="s">
        <v>690</v>
      </c>
      <c r="C392" t="s">
        <v>607</v>
      </c>
      <c r="D392" s="7" t="s">
        <v>709</v>
      </c>
      <c r="E392" t="s">
        <v>515</v>
      </c>
    </row>
    <row r="393" spans="1:5" ht="30">
      <c r="A393" t="s">
        <v>13</v>
      </c>
      <c r="B393" t="s">
        <v>690</v>
      </c>
      <c r="C393" t="s">
        <v>612</v>
      </c>
      <c r="D393" s="7" t="s">
        <v>710</v>
      </c>
      <c r="E393" t="s">
        <v>480</v>
      </c>
    </row>
    <row r="394" spans="1:5" ht="30">
      <c r="A394" t="s">
        <v>13</v>
      </c>
      <c r="B394" t="s">
        <v>690</v>
      </c>
      <c r="C394" t="s">
        <v>711</v>
      </c>
      <c r="D394" s="7" t="s">
        <v>712</v>
      </c>
      <c r="E394" t="s">
        <v>48</v>
      </c>
    </row>
    <row r="395" spans="1:5" ht="15">
      <c r="A395" t="s">
        <v>13</v>
      </c>
      <c r="B395" t="s">
        <v>690</v>
      </c>
      <c r="C395" t="s">
        <v>625</v>
      </c>
      <c r="D395" s="7" t="s">
        <v>713</v>
      </c>
      <c r="E395" t="s">
        <v>48</v>
      </c>
    </row>
    <row r="396" spans="1:5" ht="15">
      <c r="A396" t="s">
        <v>13</v>
      </c>
      <c r="B396" t="s">
        <v>690</v>
      </c>
      <c r="C396" t="s">
        <v>475</v>
      </c>
      <c r="D396" s="7" t="s">
        <v>714</v>
      </c>
      <c r="E396" t="s">
        <v>477</v>
      </c>
    </row>
    <row r="397" spans="1:5" ht="30">
      <c r="A397" t="s">
        <v>13</v>
      </c>
      <c r="B397" t="s">
        <v>690</v>
      </c>
      <c r="C397" t="s">
        <v>517</v>
      </c>
      <c r="D397" s="7" t="s">
        <v>715</v>
      </c>
      <c r="E397" t="s">
        <v>519</v>
      </c>
    </row>
    <row r="398" spans="1:5" ht="30">
      <c r="A398" t="s">
        <v>13</v>
      </c>
      <c r="B398" t="s">
        <v>690</v>
      </c>
      <c r="C398" t="s">
        <v>637</v>
      </c>
      <c r="D398" s="7" t="s">
        <v>716</v>
      </c>
      <c r="E398" t="s">
        <v>639</v>
      </c>
    </row>
    <row r="399" spans="1:5" ht="15">
      <c r="A399" t="s">
        <v>13</v>
      </c>
      <c r="B399" t="s">
        <v>690</v>
      </c>
      <c r="C399" t="s">
        <v>717</v>
      </c>
      <c r="D399" s="7" t="s">
        <v>718</v>
      </c>
      <c r="E399" t="s">
        <v>480</v>
      </c>
    </row>
    <row r="400" spans="1:5" ht="15">
      <c r="A400" t="s">
        <v>13</v>
      </c>
      <c r="B400" t="s">
        <v>690</v>
      </c>
      <c r="C400" t="s">
        <v>719</v>
      </c>
      <c r="D400" s="7" t="s">
        <v>720</v>
      </c>
      <c r="E400" t="s">
        <v>33</v>
      </c>
    </row>
    <row r="401" spans="1:5" ht="15">
      <c r="A401" t="s">
        <v>13</v>
      </c>
      <c r="B401" t="s">
        <v>690</v>
      </c>
      <c r="C401" t="s">
        <v>644</v>
      </c>
      <c r="D401" s="7" t="s">
        <v>721</v>
      </c>
      <c r="E401" t="s">
        <v>480</v>
      </c>
    </row>
    <row r="402" spans="1:5" ht="15">
      <c r="A402" t="s">
        <v>13</v>
      </c>
      <c r="B402" t="s">
        <v>690</v>
      </c>
      <c r="C402" t="s">
        <v>649</v>
      </c>
      <c r="D402" s="7" t="s">
        <v>722</v>
      </c>
      <c r="E402" t="s">
        <v>483</v>
      </c>
    </row>
    <row r="403" spans="1:5" ht="15">
      <c r="A403" t="s">
        <v>13</v>
      </c>
      <c r="B403" t="s">
        <v>690</v>
      </c>
      <c r="C403" t="s">
        <v>484</v>
      </c>
      <c r="D403" s="7" t="s">
        <v>723</v>
      </c>
      <c r="E403" t="s">
        <v>486</v>
      </c>
    </row>
    <row r="404" spans="1:5" ht="15">
      <c r="A404" t="s">
        <v>13</v>
      </c>
      <c r="B404" t="s">
        <v>690</v>
      </c>
      <c r="C404" t="s">
        <v>521</v>
      </c>
      <c r="D404" s="7" t="s">
        <v>724</v>
      </c>
      <c r="E404" t="s">
        <v>523</v>
      </c>
    </row>
    <row r="405" spans="1:5" ht="15">
      <c r="A405" t="s">
        <v>13</v>
      </c>
      <c r="B405" t="s">
        <v>690</v>
      </c>
      <c r="C405" t="s">
        <v>487</v>
      </c>
      <c r="D405" s="7" t="s">
        <v>725</v>
      </c>
      <c r="E405" t="s">
        <v>489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110"/>
  <sheetViews>
    <sheetView showGridLines="0" workbookViewId="0"/>
  </sheetViews>
  <sheetFormatPr baseColWidth="10" defaultColWidth="38.83203125" defaultRowHeight="14"/>
  <sheetData>
    <row r="1" spans="1:53">
      <c r="A1" s="1" t="s">
        <v>18</v>
      </c>
      <c r="B1" s="1" t="s">
        <v>726</v>
      </c>
      <c r="C1" s="1"/>
      <c r="D1" s="1" t="s">
        <v>10</v>
      </c>
      <c r="E1" s="1" t="s">
        <v>727</v>
      </c>
      <c r="F1" s="1" t="s">
        <v>728</v>
      </c>
      <c r="G1" s="1" t="s">
        <v>729</v>
      </c>
      <c r="H1" s="1" t="s">
        <v>730</v>
      </c>
      <c r="I1" t="s">
        <v>731</v>
      </c>
      <c r="J1" t="s">
        <v>732</v>
      </c>
      <c r="K1" t="s">
        <v>733</v>
      </c>
      <c r="L1" t="s">
        <v>734</v>
      </c>
      <c r="M1" t="s">
        <v>735</v>
      </c>
      <c r="N1" t="s">
        <v>736</v>
      </c>
      <c r="O1" t="s">
        <v>737</v>
      </c>
      <c r="P1" t="s">
        <v>738</v>
      </c>
      <c r="Q1" t="s">
        <v>739</v>
      </c>
      <c r="R1" t="s">
        <v>740</v>
      </c>
      <c r="S1" t="s">
        <v>741</v>
      </c>
      <c r="T1" t="s">
        <v>742</v>
      </c>
      <c r="U1" t="s">
        <v>743</v>
      </c>
      <c r="V1" t="s">
        <v>744</v>
      </c>
      <c r="W1" t="s">
        <v>745</v>
      </c>
      <c r="X1" t="s">
        <v>746</v>
      </c>
      <c r="Y1" t="s">
        <v>747</v>
      </c>
      <c r="Z1" t="s">
        <v>748</v>
      </c>
      <c r="AA1" t="s">
        <v>749</v>
      </c>
      <c r="AB1" t="s">
        <v>750</v>
      </c>
      <c r="AC1" t="s">
        <v>751</v>
      </c>
      <c r="AD1" t="s">
        <v>752</v>
      </c>
      <c r="AE1" t="s">
        <v>753</v>
      </c>
      <c r="AF1" t="s">
        <v>754</v>
      </c>
      <c r="AG1" t="s">
        <v>755</v>
      </c>
      <c r="AH1" t="s">
        <v>756</v>
      </c>
      <c r="AI1" t="s">
        <v>757</v>
      </c>
      <c r="AJ1" t="s">
        <v>758</v>
      </c>
      <c r="AK1" t="s">
        <v>759</v>
      </c>
      <c r="AL1" t="s">
        <v>760</v>
      </c>
      <c r="AM1" t="s">
        <v>761</v>
      </c>
      <c r="AN1" t="s">
        <v>762</v>
      </c>
      <c r="AO1" t="s">
        <v>763</v>
      </c>
      <c r="AP1" t="s">
        <v>764</v>
      </c>
      <c r="AQ1" t="s">
        <v>765</v>
      </c>
      <c r="AR1" t="s">
        <v>766</v>
      </c>
      <c r="AS1" t="s">
        <v>767</v>
      </c>
      <c r="AT1" t="s">
        <v>768</v>
      </c>
      <c r="AU1" t="s">
        <v>13</v>
      </c>
      <c r="AV1" t="s">
        <v>769</v>
      </c>
      <c r="AW1" t="s">
        <v>770</v>
      </c>
      <c r="AX1" t="s">
        <v>771</v>
      </c>
      <c r="AY1" t="s">
        <v>772</v>
      </c>
      <c r="AZ1" t="s">
        <v>773</v>
      </c>
      <c r="BA1" t="s">
        <v>774</v>
      </c>
    </row>
    <row r="2" spans="1:53">
      <c r="A2" s="1" t="s">
        <v>10</v>
      </c>
      <c r="B2" s="1" t="s">
        <v>775</v>
      </c>
      <c r="C2" s="1"/>
      <c r="D2" s="1" t="s">
        <v>27</v>
      </c>
      <c r="E2" s="1" t="s">
        <v>28</v>
      </c>
      <c r="F2" s="1" t="s">
        <v>12</v>
      </c>
      <c r="G2" s="1" t="s">
        <v>12</v>
      </c>
      <c r="H2" s="1" t="s">
        <v>47</v>
      </c>
      <c r="I2" t="s">
        <v>12</v>
      </c>
      <c r="J2" t="s">
        <v>12</v>
      </c>
      <c r="K2" t="s">
        <v>12</v>
      </c>
      <c r="L2" t="s">
        <v>12</v>
      </c>
      <c r="M2" t="s">
        <v>12</v>
      </c>
      <c r="N2" t="s">
        <v>12</v>
      </c>
      <c r="O2" t="s">
        <v>12</v>
      </c>
      <c r="P2" t="s">
        <v>12</v>
      </c>
      <c r="Q2" t="s">
        <v>109</v>
      </c>
      <c r="R2" t="s">
        <v>12</v>
      </c>
      <c r="S2" t="s">
        <v>12</v>
      </c>
      <c r="T2" t="s">
        <v>52</v>
      </c>
      <c r="U2" t="s">
        <v>31</v>
      </c>
      <c r="V2" t="s">
        <v>203</v>
      </c>
      <c r="W2" t="s">
        <v>109</v>
      </c>
      <c r="X2" t="s">
        <v>228</v>
      </c>
      <c r="Y2" t="s">
        <v>240</v>
      </c>
      <c r="Z2" t="s">
        <v>245</v>
      </c>
      <c r="AA2" t="s">
        <v>293</v>
      </c>
      <c r="AB2" t="s">
        <v>305</v>
      </c>
      <c r="AC2" t="s">
        <v>315</v>
      </c>
      <c r="AD2" t="s">
        <v>309</v>
      </c>
      <c r="AE2" t="s">
        <v>354</v>
      </c>
      <c r="AF2" t="s">
        <v>12</v>
      </c>
      <c r="AG2" t="s">
        <v>24</v>
      </c>
      <c r="AH2" t="s">
        <v>389</v>
      </c>
      <c r="AI2" t="s">
        <v>12</v>
      </c>
      <c r="AJ2" t="s">
        <v>12</v>
      </c>
      <c r="AK2" t="s">
        <v>12</v>
      </c>
      <c r="AL2" t="s">
        <v>112</v>
      </c>
      <c r="AM2" t="s">
        <v>47</v>
      </c>
      <c r="AN2" t="s">
        <v>60</v>
      </c>
      <c r="AO2" t="s">
        <v>47</v>
      </c>
      <c r="AP2" t="s">
        <v>12</v>
      </c>
      <c r="AQ2" t="s">
        <v>12</v>
      </c>
      <c r="AR2" t="s">
        <v>12</v>
      </c>
      <c r="AS2" t="s">
        <v>12</v>
      </c>
      <c r="AT2" t="s">
        <v>12</v>
      </c>
      <c r="AU2" t="s">
        <v>27</v>
      </c>
      <c r="AV2" t="s">
        <v>15</v>
      </c>
      <c r="AW2" t="s">
        <v>15</v>
      </c>
      <c r="AX2" t="s">
        <v>494</v>
      </c>
      <c r="AY2" t="s">
        <v>12</v>
      </c>
      <c r="AZ2" t="s">
        <v>672</v>
      </c>
      <c r="BA2" t="s">
        <v>12</v>
      </c>
    </row>
    <row r="3" spans="1:53">
      <c r="A3" s="1" t="s">
        <v>13</v>
      </c>
      <c r="B3" s="1" t="s">
        <v>776</v>
      </c>
      <c r="C3" s="1"/>
      <c r="D3" s="1" t="s">
        <v>49</v>
      </c>
      <c r="E3" s="1" t="s">
        <v>31</v>
      </c>
      <c r="F3" s="1" t="s">
        <v>24</v>
      </c>
      <c r="G3" s="1" t="s">
        <v>24</v>
      </c>
      <c r="H3" s="1"/>
      <c r="K3" t="s">
        <v>24</v>
      </c>
      <c r="M3" t="s">
        <v>81</v>
      </c>
      <c r="N3" t="s">
        <v>52</v>
      </c>
      <c r="P3" t="s">
        <v>91</v>
      </c>
      <c r="Q3" t="s">
        <v>112</v>
      </c>
      <c r="R3" t="s">
        <v>127</v>
      </c>
      <c r="S3" t="s">
        <v>24</v>
      </c>
      <c r="T3" t="s">
        <v>47</v>
      </c>
      <c r="U3" t="s">
        <v>158</v>
      </c>
      <c r="V3" t="s">
        <v>206</v>
      </c>
      <c r="W3" t="s">
        <v>60</v>
      </c>
      <c r="X3" t="s">
        <v>231</v>
      </c>
      <c r="Y3" t="s">
        <v>243</v>
      </c>
      <c r="Z3" t="s">
        <v>248</v>
      </c>
      <c r="AA3" t="s">
        <v>296</v>
      </c>
      <c r="AB3" t="s">
        <v>307</v>
      </c>
      <c r="AC3" t="s">
        <v>318</v>
      </c>
      <c r="AD3" t="s">
        <v>24</v>
      </c>
      <c r="AE3" t="s">
        <v>357</v>
      </c>
      <c r="AF3" t="s">
        <v>172</v>
      </c>
      <c r="AG3" t="s">
        <v>375</v>
      </c>
      <c r="AH3" t="s">
        <v>392</v>
      </c>
      <c r="AI3" t="s">
        <v>404</v>
      </c>
      <c r="AP3" t="s">
        <v>432</v>
      </c>
      <c r="AQ3" t="s">
        <v>435</v>
      </c>
      <c r="AR3" t="s">
        <v>442</v>
      </c>
      <c r="AS3" t="s">
        <v>24</v>
      </c>
      <c r="AT3" t="s">
        <v>24</v>
      </c>
      <c r="AU3" t="s">
        <v>56</v>
      </c>
      <c r="AV3" t="s">
        <v>469</v>
      </c>
      <c r="AW3" t="s">
        <v>491</v>
      </c>
      <c r="AX3" t="s">
        <v>15</v>
      </c>
      <c r="AY3" t="s">
        <v>525</v>
      </c>
      <c r="AZ3" t="s">
        <v>674</v>
      </c>
      <c r="BA3" t="s">
        <v>525</v>
      </c>
    </row>
    <row r="4" spans="1:53">
      <c r="A4" s="1"/>
      <c r="B4" s="1"/>
      <c r="C4" s="1"/>
      <c r="D4" s="1" t="s">
        <v>56</v>
      </c>
      <c r="E4" s="1" t="s">
        <v>12</v>
      </c>
      <c r="F4" s="1" t="s">
        <v>52</v>
      </c>
      <c r="G4" s="1" t="s">
        <v>52</v>
      </c>
      <c r="H4" s="1"/>
      <c r="K4" t="s">
        <v>52</v>
      </c>
      <c r="M4" t="s">
        <v>83</v>
      </c>
      <c r="N4" t="s">
        <v>47</v>
      </c>
      <c r="P4" t="s">
        <v>93</v>
      </c>
      <c r="Q4" t="s">
        <v>52</v>
      </c>
      <c r="R4" t="s">
        <v>129</v>
      </c>
      <c r="S4" t="s">
        <v>137</v>
      </c>
      <c r="U4" t="s">
        <v>12</v>
      </c>
      <c r="V4" t="s">
        <v>208</v>
      </c>
      <c r="W4" t="s">
        <v>224</v>
      </c>
      <c r="X4" t="s">
        <v>233</v>
      </c>
      <c r="Z4" t="s">
        <v>250</v>
      </c>
      <c r="AA4" t="s">
        <v>298</v>
      </c>
      <c r="AB4" t="s">
        <v>309</v>
      </c>
      <c r="AC4" t="s">
        <v>320</v>
      </c>
      <c r="AD4" t="s">
        <v>338</v>
      </c>
      <c r="AE4" t="s">
        <v>359</v>
      </c>
      <c r="AF4" t="s">
        <v>52</v>
      </c>
      <c r="AG4" t="s">
        <v>267</v>
      </c>
      <c r="AH4" t="s">
        <v>394</v>
      </c>
      <c r="AI4" t="s">
        <v>406</v>
      </c>
      <c r="AQ4" t="s">
        <v>146</v>
      </c>
      <c r="AR4" t="s">
        <v>170</v>
      </c>
      <c r="AS4" t="s">
        <v>52</v>
      </c>
      <c r="AT4" t="s">
        <v>52</v>
      </c>
      <c r="AU4" t="s">
        <v>493</v>
      </c>
      <c r="AV4" t="s">
        <v>472</v>
      </c>
      <c r="AX4" t="s">
        <v>498</v>
      </c>
      <c r="AY4" t="s">
        <v>527</v>
      </c>
      <c r="AZ4" t="s">
        <v>676</v>
      </c>
      <c r="BA4" t="s">
        <v>693</v>
      </c>
    </row>
    <row r="5" spans="1:53">
      <c r="A5" s="1"/>
      <c r="B5" s="1"/>
      <c r="C5" s="1"/>
      <c r="D5" s="1" t="s">
        <v>64</v>
      </c>
      <c r="E5" s="1" t="s">
        <v>24</v>
      </c>
      <c r="F5" s="1" t="s">
        <v>39</v>
      </c>
      <c r="G5" s="1" t="s">
        <v>60</v>
      </c>
      <c r="H5" s="1"/>
      <c r="K5" t="s">
        <v>39</v>
      </c>
      <c r="M5" t="s">
        <v>47</v>
      </c>
      <c r="P5" t="s">
        <v>52</v>
      </c>
      <c r="Q5" t="s">
        <v>115</v>
      </c>
      <c r="R5" t="s">
        <v>131</v>
      </c>
      <c r="S5" t="s">
        <v>139</v>
      </c>
      <c r="U5" t="s">
        <v>24</v>
      </c>
      <c r="V5" t="s">
        <v>210</v>
      </c>
      <c r="W5" t="s">
        <v>121</v>
      </c>
      <c r="X5" t="s">
        <v>235</v>
      </c>
      <c r="Z5" t="s">
        <v>252</v>
      </c>
      <c r="AA5" t="s">
        <v>300</v>
      </c>
      <c r="AB5" t="s">
        <v>311</v>
      </c>
      <c r="AC5" t="s">
        <v>322</v>
      </c>
      <c r="AD5" t="s">
        <v>340</v>
      </c>
      <c r="AE5" t="s">
        <v>361</v>
      </c>
      <c r="AF5" t="s">
        <v>39</v>
      </c>
      <c r="AG5" t="s">
        <v>378</v>
      </c>
      <c r="AH5" t="s">
        <v>396</v>
      </c>
      <c r="AI5" t="s">
        <v>408</v>
      </c>
      <c r="AQ5" t="s">
        <v>438</v>
      </c>
      <c r="AR5" t="s">
        <v>445</v>
      </c>
      <c r="AS5" t="s">
        <v>41</v>
      </c>
      <c r="AT5" t="s">
        <v>463</v>
      </c>
      <c r="AU5" t="s">
        <v>14</v>
      </c>
      <c r="AV5" t="s">
        <v>475</v>
      </c>
      <c r="AX5" t="s">
        <v>501</v>
      </c>
      <c r="AY5" t="s">
        <v>529</v>
      </c>
      <c r="AZ5" t="s">
        <v>678</v>
      </c>
      <c r="BA5" t="s">
        <v>533</v>
      </c>
    </row>
    <row r="6" spans="1:53">
      <c r="A6" s="1" t="s">
        <v>777</v>
      </c>
      <c r="B6" s="1" t="s">
        <v>778</v>
      </c>
      <c r="C6" s="1"/>
      <c r="D6" s="1" t="s">
        <v>67</v>
      </c>
      <c r="E6" s="1" t="s">
        <v>35</v>
      </c>
      <c r="F6" s="1" t="s">
        <v>41</v>
      </c>
      <c r="G6" s="1" t="s">
        <v>41</v>
      </c>
      <c r="H6" s="1"/>
      <c r="K6" t="s">
        <v>47</v>
      </c>
      <c r="P6" t="s">
        <v>60</v>
      </c>
      <c r="Q6" t="s">
        <v>37</v>
      </c>
      <c r="R6" t="s">
        <v>133</v>
      </c>
      <c r="S6" t="s">
        <v>141</v>
      </c>
      <c r="U6" t="s">
        <v>161</v>
      </c>
      <c r="V6" t="s">
        <v>212</v>
      </c>
      <c r="X6" t="s">
        <v>237</v>
      </c>
      <c r="Z6" t="s">
        <v>17</v>
      </c>
      <c r="AA6" t="s">
        <v>302</v>
      </c>
      <c r="AB6" t="s">
        <v>313</v>
      </c>
      <c r="AC6" t="s">
        <v>324</v>
      </c>
      <c r="AD6" t="s">
        <v>342</v>
      </c>
      <c r="AE6" t="s">
        <v>363</v>
      </c>
      <c r="AF6" t="s">
        <v>43</v>
      </c>
      <c r="AG6" t="s">
        <v>380</v>
      </c>
      <c r="AH6" t="s">
        <v>398</v>
      </c>
      <c r="AI6" t="s">
        <v>410</v>
      </c>
      <c r="AQ6" t="s">
        <v>440</v>
      </c>
      <c r="AR6" t="s">
        <v>447</v>
      </c>
      <c r="AS6" t="s">
        <v>47</v>
      </c>
      <c r="AT6" t="s">
        <v>41</v>
      </c>
      <c r="AU6" t="s">
        <v>671</v>
      </c>
      <c r="AV6" t="s">
        <v>478</v>
      </c>
      <c r="AX6" t="s">
        <v>504</v>
      </c>
      <c r="AY6" t="s">
        <v>531</v>
      </c>
      <c r="AZ6" t="s">
        <v>680</v>
      </c>
      <c r="BA6" t="s">
        <v>494</v>
      </c>
    </row>
    <row r="7" spans="1:53">
      <c r="A7" s="1" t="s">
        <v>779</v>
      </c>
      <c r="B7" s="1" t="s">
        <v>780</v>
      </c>
      <c r="C7" s="1"/>
      <c r="D7" s="1" t="s">
        <v>69</v>
      </c>
      <c r="E7" s="1" t="s">
        <v>37</v>
      </c>
      <c r="F7" s="1" t="s">
        <v>47</v>
      </c>
      <c r="G7" s="1" t="s">
        <v>47</v>
      </c>
      <c r="H7" s="1"/>
      <c r="P7" t="s">
        <v>97</v>
      </c>
      <c r="Q7" t="s">
        <v>39</v>
      </c>
      <c r="R7" t="s">
        <v>135</v>
      </c>
      <c r="S7" t="s">
        <v>52</v>
      </c>
      <c r="U7" t="s">
        <v>163</v>
      </c>
      <c r="V7" t="s">
        <v>214</v>
      </c>
      <c r="Z7" t="s">
        <v>254</v>
      </c>
      <c r="AC7" t="s">
        <v>326</v>
      </c>
      <c r="AD7" t="s">
        <v>175</v>
      </c>
      <c r="AE7" t="s">
        <v>365</v>
      </c>
      <c r="AF7" t="s">
        <v>47</v>
      </c>
      <c r="AG7" t="s">
        <v>382</v>
      </c>
      <c r="AH7" t="s">
        <v>400</v>
      </c>
      <c r="AI7" t="s">
        <v>412</v>
      </c>
      <c r="AR7" t="s">
        <v>449</v>
      </c>
      <c r="AS7" t="s">
        <v>106</v>
      </c>
      <c r="AT7" t="s">
        <v>47</v>
      </c>
      <c r="AU7" t="s">
        <v>690</v>
      </c>
      <c r="AV7" t="s">
        <v>481</v>
      </c>
      <c r="AX7" t="s">
        <v>469</v>
      </c>
      <c r="AY7" t="s">
        <v>533</v>
      </c>
      <c r="AZ7" t="s">
        <v>472</v>
      </c>
      <c r="BA7" t="s">
        <v>536</v>
      </c>
    </row>
    <row r="8" spans="1:53">
      <c r="A8" s="1" t="s">
        <v>781</v>
      </c>
      <c r="B8" s="1" t="s">
        <v>782</v>
      </c>
      <c r="C8" s="1"/>
      <c r="D8" s="1" t="s">
        <v>71</v>
      </c>
      <c r="E8" s="1" t="s">
        <v>39</v>
      </c>
      <c r="F8" s="1"/>
      <c r="G8" s="1"/>
      <c r="H8" s="1"/>
      <c r="P8" t="s">
        <v>35</v>
      </c>
      <c r="Q8" t="s">
        <v>119</v>
      </c>
      <c r="S8" t="s">
        <v>60</v>
      </c>
      <c r="U8" t="s">
        <v>165</v>
      </c>
      <c r="V8" t="s">
        <v>216</v>
      </c>
      <c r="Z8" t="s">
        <v>93</v>
      </c>
      <c r="AC8" t="s">
        <v>328</v>
      </c>
      <c r="AD8" t="s">
        <v>345</v>
      </c>
      <c r="AF8" t="s">
        <v>106</v>
      </c>
      <c r="AG8" t="s">
        <v>39</v>
      </c>
      <c r="AI8" t="s">
        <v>414</v>
      </c>
      <c r="AR8" t="s">
        <v>450</v>
      </c>
      <c r="AT8" t="s">
        <v>106</v>
      </c>
      <c r="AV8" t="s">
        <v>484</v>
      </c>
      <c r="AX8" t="s">
        <v>378</v>
      </c>
      <c r="AY8" t="s">
        <v>494</v>
      </c>
      <c r="AZ8" t="s">
        <v>612</v>
      </c>
      <c r="BA8" t="s">
        <v>15</v>
      </c>
    </row>
    <row r="9" spans="1:53">
      <c r="A9" s="1" t="s">
        <v>783</v>
      </c>
      <c r="B9" s="1" t="s">
        <v>784</v>
      </c>
      <c r="C9" s="1"/>
      <c r="D9" s="1" t="s">
        <v>77</v>
      </c>
      <c r="E9" s="1" t="s">
        <v>41</v>
      </c>
      <c r="F9" s="1"/>
      <c r="G9" s="1"/>
      <c r="H9" s="1"/>
      <c r="P9" t="s">
        <v>39</v>
      </c>
      <c r="Q9" t="s">
        <v>121</v>
      </c>
      <c r="S9" t="s">
        <v>144</v>
      </c>
      <c r="U9" t="s">
        <v>109</v>
      </c>
      <c r="V9" t="s">
        <v>218</v>
      </c>
      <c r="Z9" t="s">
        <v>257</v>
      </c>
      <c r="AC9" t="s">
        <v>330</v>
      </c>
      <c r="AD9" t="s">
        <v>119</v>
      </c>
      <c r="AG9" t="s">
        <v>121</v>
      </c>
      <c r="AR9" t="s">
        <v>47</v>
      </c>
      <c r="AV9" t="s">
        <v>487</v>
      </c>
      <c r="AX9" t="s">
        <v>472</v>
      </c>
      <c r="AY9" t="s">
        <v>536</v>
      </c>
      <c r="AZ9" t="s">
        <v>621</v>
      </c>
      <c r="BA9" t="s">
        <v>498</v>
      </c>
    </row>
    <row r="10" spans="1:53">
      <c r="A10" s="1" t="s">
        <v>785</v>
      </c>
      <c r="B10" s="1" t="s">
        <v>786</v>
      </c>
      <c r="C10" s="1"/>
      <c r="D10" s="1" t="s">
        <v>79</v>
      </c>
      <c r="E10" s="1" t="s">
        <v>43</v>
      </c>
      <c r="F10" s="1"/>
      <c r="G10" s="1"/>
      <c r="H10" s="1"/>
      <c r="P10" t="s">
        <v>101</v>
      </c>
      <c r="Q10" t="s">
        <v>123</v>
      </c>
      <c r="S10" t="s">
        <v>146</v>
      </c>
      <c r="U10" t="s">
        <v>168</v>
      </c>
      <c r="Z10" t="s">
        <v>259</v>
      </c>
      <c r="AC10" t="s">
        <v>331</v>
      </c>
      <c r="AD10" t="s">
        <v>121</v>
      </c>
      <c r="AG10" t="s">
        <v>41</v>
      </c>
      <c r="AX10" t="s">
        <v>510</v>
      </c>
      <c r="AY10" t="s">
        <v>539</v>
      </c>
      <c r="AZ10" t="s">
        <v>685</v>
      </c>
      <c r="BA10" t="s">
        <v>501</v>
      </c>
    </row>
    <row r="11" spans="1:53">
      <c r="A11" s="1" t="s">
        <v>787</v>
      </c>
      <c r="B11" s="1" t="s">
        <v>788</v>
      </c>
      <c r="C11" s="1"/>
      <c r="D11" s="1" t="s">
        <v>84</v>
      </c>
      <c r="E11" s="1" t="s">
        <v>45</v>
      </c>
      <c r="F11" s="1"/>
      <c r="G11" s="1"/>
      <c r="H11" s="1"/>
      <c r="P11" t="s">
        <v>41</v>
      </c>
      <c r="S11" t="s">
        <v>39</v>
      </c>
      <c r="U11" t="s">
        <v>170</v>
      </c>
      <c r="Z11" t="s">
        <v>261</v>
      </c>
      <c r="AC11" t="s">
        <v>333</v>
      </c>
      <c r="AD11" t="s">
        <v>349</v>
      </c>
      <c r="AG11" t="s">
        <v>123</v>
      </c>
      <c r="AX11" t="s">
        <v>513</v>
      </c>
      <c r="AY11" t="s">
        <v>541</v>
      </c>
      <c r="AZ11" t="s">
        <v>644</v>
      </c>
      <c r="BA11" t="s">
        <v>504</v>
      </c>
    </row>
    <row r="12" spans="1:53">
      <c r="A12" s="1" t="s">
        <v>789</v>
      </c>
      <c r="B12" s="1" t="s">
        <v>790</v>
      </c>
      <c r="C12" s="1"/>
      <c r="D12" s="1" t="s">
        <v>87</v>
      </c>
      <c r="E12" s="1" t="s">
        <v>47</v>
      </c>
      <c r="F12" s="1"/>
      <c r="G12" s="1"/>
      <c r="H12" s="1"/>
      <c r="P12" t="s">
        <v>104</v>
      </c>
      <c r="S12" t="s">
        <v>149</v>
      </c>
      <c r="U12" t="s">
        <v>172</v>
      </c>
      <c r="Z12" t="s">
        <v>263</v>
      </c>
      <c r="AD12" t="s">
        <v>43</v>
      </c>
      <c r="AX12" t="s">
        <v>475</v>
      </c>
      <c r="AY12" t="s">
        <v>544</v>
      </c>
      <c r="AZ12" t="s">
        <v>649</v>
      </c>
      <c r="BA12" t="s">
        <v>469</v>
      </c>
    </row>
    <row r="13" spans="1:53">
      <c r="A13" s="1" t="s">
        <v>791</v>
      </c>
      <c r="B13" s="1" t="s">
        <v>792</v>
      </c>
      <c r="C13" s="1"/>
      <c r="D13" s="1" t="s">
        <v>89</v>
      </c>
      <c r="E13" s="1"/>
      <c r="F13" s="1"/>
      <c r="G13" s="1"/>
      <c r="H13" s="1"/>
      <c r="P13" t="s">
        <v>47</v>
      </c>
      <c r="S13" t="s">
        <v>41</v>
      </c>
      <c r="U13" t="s">
        <v>139</v>
      </c>
      <c r="Z13" t="s">
        <v>265</v>
      </c>
      <c r="AD13" t="s">
        <v>133</v>
      </c>
      <c r="AX13" t="s">
        <v>517</v>
      </c>
      <c r="AY13" t="s">
        <v>546</v>
      </c>
      <c r="AZ13" t="s">
        <v>484</v>
      </c>
      <c r="BA13" t="s">
        <v>567</v>
      </c>
    </row>
    <row r="14" spans="1:53">
      <c r="A14" s="1" t="s">
        <v>793</v>
      </c>
      <c r="B14" s="1" t="s">
        <v>794</v>
      </c>
      <c r="C14" s="1"/>
      <c r="D14" s="1" t="s">
        <v>108</v>
      </c>
      <c r="E14" s="1"/>
      <c r="F14" s="1"/>
      <c r="G14" s="1"/>
      <c r="H14" s="1"/>
      <c r="P14" t="s">
        <v>106</v>
      </c>
      <c r="S14" t="s">
        <v>47</v>
      </c>
      <c r="U14" t="s">
        <v>175</v>
      </c>
      <c r="Z14" t="s">
        <v>267</v>
      </c>
      <c r="AD14" t="s">
        <v>47</v>
      </c>
      <c r="AX14" t="s">
        <v>484</v>
      </c>
      <c r="AY14" t="s">
        <v>15</v>
      </c>
      <c r="BA14" t="s">
        <v>472</v>
      </c>
    </row>
    <row r="15" spans="1:53">
      <c r="A15" s="1" t="s">
        <v>795</v>
      </c>
      <c r="B15" s="1" t="s">
        <v>796</v>
      </c>
      <c r="C15" s="1"/>
      <c r="D15" s="1" t="s">
        <v>125</v>
      </c>
      <c r="E15" s="1"/>
      <c r="F15" s="1"/>
      <c r="G15" s="1"/>
      <c r="H15" s="1"/>
      <c r="S15" t="s">
        <v>106</v>
      </c>
      <c r="U15" t="s">
        <v>52</v>
      </c>
      <c r="Z15" t="s">
        <v>269</v>
      </c>
      <c r="AX15" t="s">
        <v>521</v>
      </c>
      <c r="AY15" t="s">
        <v>498</v>
      </c>
      <c r="BA15" t="s">
        <v>586</v>
      </c>
    </row>
    <row r="16" spans="1:53">
      <c r="A16" s="1" t="s">
        <v>797</v>
      </c>
      <c r="B16" s="1" t="s">
        <v>798</v>
      </c>
      <c r="C16" s="1"/>
      <c r="D16" s="1" t="s">
        <v>23</v>
      </c>
      <c r="E16" s="1"/>
      <c r="F16" s="1"/>
      <c r="G16" s="1"/>
      <c r="H16" s="1"/>
      <c r="U16" t="s">
        <v>178</v>
      </c>
      <c r="Z16" t="s">
        <v>270</v>
      </c>
      <c r="AY16" t="s">
        <v>551</v>
      </c>
      <c r="BA16" t="s">
        <v>588</v>
      </c>
    </row>
    <row r="17" spans="1:53">
      <c r="A17" s="1" t="s">
        <v>799</v>
      </c>
      <c r="B17" s="1" t="s">
        <v>800</v>
      </c>
      <c r="C17" s="1"/>
      <c r="D17" s="1" t="s">
        <v>153</v>
      </c>
      <c r="E17" s="1"/>
      <c r="F17" s="1"/>
      <c r="G17" s="1"/>
      <c r="H17" s="1"/>
      <c r="U17" t="s">
        <v>180</v>
      </c>
      <c r="Z17" t="s">
        <v>272</v>
      </c>
      <c r="AY17" t="s">
        <v>553</v>
      </c>
      <c r="BA17" t="s">
        <v>595</v>
      </c>
    </row>
    <row r="18" spans="1:53">
      <c r="A18" s="1" t="s">
        <v>801</v>
      </c>
      <c r="B18" s="1" t="s">
        <v>802</v>
      </c>
      <c r="C18" s="1"/>
      <c r="D18" s="1" t="s">
        <v>11</v>
      </c>
      <c r="E18" s="1"/>
      <c r="F18" s="1"/>
      <c r="G18" s="1"/>
      <c r="H18" s="1"/>
      <c r="U18" t="s">
        <v>182</v>
      </c>
      <c r="Z18" t="s">
        <v>274</v>
      </c>
      <c r="AY18" t="s">
        <v>555</v>
      </c>
      <c r="BA18" t="s">
        <v>603</v>
      </c>
    </row>
    <row r="19" spans="1:53">
      <c r="A19" s="1" t="s">
        <v>803</v>
      </c>
      <c r="B19" s="1" t="s">
        <v>804</v>
      </c>
      <c r="C19" s="1"/>
      <c r="D19" s="1" t="s">
        <v>202</v>
      </c>
      <c r="E19" s="1"/>
      <c r="F19" s="1"/>
      <c r="G19" s="1"/>
      <c r="H19" s="1"/>
      <c r="U19" t="s">
        <v>183</v>
      </c>
      <c r="Z19" t="s">
        <v>276</v>
      </c>
      <c r="AY19" t="s">
        <v>557</v>
      </c>
      <c r="BA19" t="s">
        <v>607</v>
      </c>
    </row>
    <row r="20" spans="1:53">
      <c r="A20" s="1" t="s">
        <v>805</v>
      </c>
      <c r="B20" s="1" t="s">
        <v>806</v>
      </c>
      <c r="C20" s="1"/>
      <c r="D20" s="1" t="s">
        <v>220</v>
      </c>
      <c r="E20" s="1"/>
      <c r="F20" s="1"/>
      <c r="G20" s="1"/>
      <c r="H20" s="1"/>
      <c r="U20" t="s">
        <v>185</v>
      </c>
      <c r="Z20" t="s">
        <v>278</v>
      </c>
      <c r="AY20" t="s">
        <v>559</v>
      </c>
      <c r="BA20" t="s">
        <v>612</v>
      </c>
    </row>
    <row r="21" spans="1:53">
      <c r="A21" s="1" t="s">
        <v>807</v>
      </c>
      <c r="B21" s="1" t="s">
        <v>808</v>
      </c>
      <c r="C21" s="1"/>
      <c r="D21" s="1" t="s">
        <v>227</v>
      </c>
      <c r="E21" s="1"/>
      <c r="F21" s="1"/>
      <c r="G21" s="1"/>
      <c r="H21" s="1"/>
      <c r="U21" t="s">
        <v>187</v>
      </c>
      <c r="Z21" t="s">
        <v>280</v>
      </c>
      <c r="AY21" t="s">
        <v>561</v>
      </c>
      <c r="BA21" t="s">
        <v>711</v>
      </c>
    </row>
    <row r="22" spans="1:53">
      <c r="A22" s="1" t="s">
        <v>809</v>
      </c>
      <c r="B22" s="1" t="s">
        <v>810</v>
      </c>
      <c r="C22" s="1"/>
      <c r="D22" s="1" t="s">
        <v>239</v>
      </c>
      <c r="E22" s="1"/>
      <c r="F22" s="1"/>
      <c r="G22" s="1"/>
      <c r="H22" s="1"/>
      <c r="U22" t="s">
        <v>189</v>
      </c>
      <c r="Z22" t="s">
        <v>282</v>
      </c>
      <c r="AY22" t="s">
        <v>469</v>
      </c>
      <c r="BA22" t="s">
        <v>625</v>
      </c>
    </row>
    <row r="23" spans="1:53">
      <c r="A23" s="1" t="s">
        <v>811</v>
      </c>
      <c r="B23" s="1" t="s">
        <v>812</v>
      </c>
      <c r="C23" s="1"/>
      <c r="D23" s="1" t="s">
        <v>16</v>
      </c>
      <c r="E23" s="1"/>
      <c r="F23" s="1"/>
      <c r="G23" s="1"/>
      <c r="H23" s="1"/>
      <c r="U23" t="s">
        <v>39</v>
      </c>
      <c r="Z23" t="s">
        <v>284</v>
      </c>
      <c r="AY23" t="s">
        <v>178</v>
      </c>
      <c r="BA23" t="s">
        <v>475</v>
      </c>
    </row>
    <row r="24" spans="1:53">
      <c r="A24" s="1" t="s">
        <v>813</v>
      </c>
      <c r="B24" s="1" t="s">
        <v>814</v>
      </c>
      <c r="C24" s="1"/>
      <c r="D24" s="1" t="s">
        <v>292</v>
      </c>
      <c r="E24" s="1"/>
      <c r="F24" s="1"/>
      <c r="G24" s="1"/>
      <c r="H24" s="1"/>
      <c r="U24" t="s">
        <v>119</v>
      </c>
      <c r="Z24" t="s">
        <v>286</v>
      </c>
      <c r="AY24" t="s">
        <v>565</v>
      </c>
      <c r="BA24" t="s">
        <v>517</v>
      </c>
    </row>
    <row r="25" spans="1:53">
      <c r="A25" s="1" t="s">
        <v>815</v>
      </c>
      <c r="B25" s="1" t="s">
        <v>816</v>
      </c>
      <c r="C25" s="1"/>
      <c r="D25" s="1" t="s">
        <v>304</v>
      </c>
      <c r="E25" s="1"/>
      <c r="F25" s="1"/>
      <c r="G25" s="1"/>
      <c r="H25" s="1"/>
      <c r="U25" t="s">
        <v>192</v>
      </c>
      <c r="Z25" t="s">
        <v>288</v>
      </c>
      <c r="AY25" t="s">
        <v>567</v>
      </c>
      <c r="BA25" t="s">
        <v>637</v>
      </c>
    </row>
    <row r="26" spans="1:53">
      <c r="A26" s="1" t="s">
        <v>817</v>
      </c>
      <c r="B26" s="1" t="s">
        <v>818</v>
      </c>
      <c r="C26" s="1"/>
      <c r="D26" s="1" t="s">
        <v>314</v>
      </c>
      <c r="E26" s="1"/>
      <c r="F26" s="1"/>
      <c r="G26" s="1"/>
      <c r="H26" s="1"/>
      <c r="U26" t="s">
        <v>121</v>
      </c>
      <c r="Z26" t="s">
        <v>290</v>
      </c>
      <c r="AY26" t="s">
        <v>569</v>
      </c>
      <c r="BA26" t="s">
        <v>717</v>
      </c>
    </row>
    <row r="27" spans="1:53">
      <c r="A27" s="1" t="s">
        <v>819</v>
      </c>
      <c r="B27" s="1" t="s">
        <v>820</v>
      </c>
      <c r="C27" s="1"/>
      <c r="D27" s="1" t="s">
        <v>334</v>
      </c>
      <c r="E27" s="1"/>
      <c r="F27" s="1"/>
      <c r="G27" s="1"/>
      <c r="H27" s="1"/>
      <c r="U27" t="s">
        <v>41</v>
      </c>
      <c r="AY27" t="s">
        <v>571</v>
      </c>
      <c r="BA27" t="s">
        <v>719</v>
      </c>
    </row>
    <row r="28" spans="1:53">
      <c r="A28" s="1" t="s">
        <v>821</v>
      </c>
      <c r="B28" s="1" t="s">
        <v>822</v>
      </c>
      <c r="C28" s="1"/>
      <c r="D28" s="1" t="s">
        <v>353</v>
      </c>
      <c r="E28" s="1"/>
      <c r="F28" s="1"/>
      <c r="G28" s="1"/>
      <c r="H28" s="1"/>
      <c r="U28" t="s">
        <v>43</v>
      </c>
      <c r="AY28" t="s">
        <v>472</v>
      </c>
      <c r="BA28" t="s">
        <v>644</v>
      </c>
    </row>
    <row r="29" spans="1:53">
      <c r="A29" s="1" t="s">
        <v>823</v>
      </c>
      <c r="B29" s="1" t="s">
        <v>824</v>
      </c>
      <c r="C29" s="1"/>
      <c r="D29" s="1" t="s">
        <v>366</v>
      </c>
      <c r="E29" s="1"/>
      <c r="F29" s="1"/>
      <c r="G29" s="1"/>
      <c r="H29" s="1"/>
      <c r="U29" t="s">
        <v>197</v>
      </c>
      <c r="AY29" t="s">
        <v>575</v>
      </c>
      <c r="BA29" t="s">
        <v>649</v>
      </c>
    </row>
    <row r="30" spans="1:53">
      <c r="A30" s="1" t="s">
        <v>825</v>
      </c>
      <c r="B30" s="1" t="s">
        <v>826</v>
      </c>
      <c r="C30" s="1"/>
      <c r="D30" s="1" t="s">
        <v>373</v>
      </c>
      <c r="E30" s="1"/>
      <c r="F30" s="1"/>
      <c r="G30" s="1"/>
      <c r="H30" s="1"/>
      <c r="U30" t="s">
        <v>199</v>
      </c>
      <c r="AY30" t="s">
        <v>577</v>
      </c>
      <c r="BA30" t="s">
        <v>484</v>
      </c>
    </row>
    <row r="31" spans="1:53">
      <c r="A31" s="1" t="s">
        <v>827</v>
      </c>
      <c r="B31" s="1" t="s">
        <v>828</v>
      </c>
      <c r="C31" s="1"/>
      <c r="D31" s="1" t="s">
        <v>388</v>
      </c>
      <c r="E31" s="1"/>
      <c r="F31" s="1"/>
      <c r="G31" s="1"/>
      <c r="H31" s="1"/>
      <c r="U31" t="s">
        <v>106</v>
      </c>
      <c r="AY31" t="s">
        <v>579</v>
      </c>
      <c r="BA31" t="s">
        <v>521</v>
      </c>
    </row>
    <row r="32" spans="1:53">
      <c r="A32" s="1" t="s">
        <v>829</v>
      </c>
      <c r="B32" s="1" t="s">
        <v>830</v>
      </c>
      <c r="C32" s="1"/>
      <c r="D32" s="1" t="s">
        <v>402</v>
      </c>
      <c r="E32" s="1"/>
      <c r="F32" s="1"/>
      <c r="G32" s="1"/>
      <c r="H32" s="1"/>
      <c r="AY32" t="s">
        <v>581</v>
      </c>
      <c r="BA32" t="s">
        <v>487</v>
      </c>
    </row>
    <row r="33" spans="1:51">
      <c r="A33" s="1" t="s">
        <v>831</v>
      </c>
      <c r="B33" s="1" t="s">
        <v>832</v>
      </c>
      <c r="C33" s="1"/>
      <c r="D33" s="1" t="s">
        <v>416</v>
      </c>
      <c r="E33" s="1"/>
      <c r="F33" s="1"/>
      <c r="G33" s="1"/>
      <c r="H33" s="1"/>
      <c r="AY33" t="s">
        <v>583</v>
      </c>
    </row>
    <row r="34" spans="1:51">
      <c r="A34" s="1" t="s">
        <v>833</v>
      </c>
      <c r="B34" s="1" t="s">
        <v>834</v>
      </c>
      <c r="C34" s="1"/>
      <c r="D34" s="1" t="s">
        <v>418</v>
      </c>
      <c r="E34" s="1"/>
      <c r="F34" s="1"/>
      <c r="G34" s="1"/>
      <c r="H34" s="1"/>
      <c r="AY34" t="s">
        <v>510</v>
      </c>
    </row>
    <row r="35" spans="1:51">
      <c r="A35" s="1" t="s">
        <v>835</v>
      </c>
      <c r="B35" s="1" t="s">
        <v>836</v>
      </c>
      <c r="C35" s="1"/>
      <c r="D35" s="1" t="s">
        <v>420</v>
      </c>
      <c r="E35" s="1"/>
      <c r="F35" s="1"/>
      <c r="G35" s="1"/>
      <c r="H35" s="1"/>
      <c r="AY35" t="s">
        <v>586</v>
      </c>
    </row>
    <row r="36" spans="1:51">
      <c r="A36" s="1" t="s">
        <v>837</v>
      </c>
      <c r="B36" s="1" t="s">
        <v>838</v>
      </c>
      <c r="C36" s="1"/>
      <c r="D36" s="1" t="s">
        <v>423</v>
      </c>
      <c r="E36" s="1"/>
      <c r="F36" s="1"/>
      <c r="G36" s="1"/>
      <c r="H36" s="1"/>
      <c r="AY36" t="s">
        <v>588</v>
      </c>
    </row>
    <row r="37" spans="1:51">
      <c r="A37" s="1" t="s">
        <v>839</v>
      </c>
      <c r="B37" s="1" t="s">
        <v>840</v>
      </c>
      <c r="C37" s="1"/>
      <c r="D37" s="1" t="s">
        <v>425</v>
      </c>
      <c r="E37" s="1"/>
      <c r="F37" s="1"/>
      <c r="G37" s="1"/>
      <c r="H37" s="1"/>
      <c r="AY37" t="s">
        <v>590</v>
      </c>
    </row>
    <row r="38" spans="1:51">
      <c r="A38" s="1" t="s">
        <v>841</v>
      </c>
      <c r="B38" s="1" t="s">
        <v>842</v>
      </c>
      <c r="C38" s="1"/>
      <c r="D38" s="1" t="s">
        <v>428</v>
      </c>
      <c r="E38" s="1"/>
      <c r="F38" s="1"/>
      <c r="G38" s="1"/>
      <c r="H38" s="1"/>
      <c r="AY38" t="s">
        <v>592</v>
      </c>
    </row>
    <row r="39" spans="1:51">
      <c r="A39" s="1" t="s">
        <v>843</v>
      </c>
      <c r="B39" s="1" t="s">
        <v>844</v>
      </c>
      <c r="C39" s="1"/>
      <c r="D39" s="1" t="s">
        <v>430</v>
      </c>
      <c r="E39" s="1"/>
      <c r="F39" s="1"/>
      <c r="G39" s="1"/>
      <c r="H39" s="1"/>
      <c r="AY39" t="s">
        <v>595</v>
      </c>
    </row>
    <row r="40" spans="1:51">
      <c r="A40" s="1" t="s">
        <v>845</v>
      </c>
      <c r="B40" s="1" t="s">
        <v>846</v>
      </c>
      <c r="C40" s="1"/>
      <c r="D40" s="1" t="s">
        <v>433</v>
      </c>
      <c r="E40" s="1"/>
      <c r="F40" s="1"/>
      <c r="G40" s="1"/>
      <c r="H40" s="1"/>
      <c r="AY40" t="s">
        <v>598</v>
      </c>
    </row>
    <row r="41" spans="1:51">
      <c r="A41" s="1" t="s">
        <v>847</v>
      </c>
      <c r="B41" s="1" t="s">
        <v>848</v>
      </c>
      <c r="C41" s="1"/>
      <c r="D41" s="1" t="s">
        <v>441</v>
      </c>
      <c r="E41" s="1"/>
      <c r="F41" s="1"/>
      <c r="G41" s="1"/>
      <c r="H41" s="1"/>
      <c r="AY41" t="s">
        <v>601</v>
      </c>
    </row>
    <row r="42" spans="1:51">
      <c r="A42" s="1" t="s">
        <v>849</v>
      </c>
      <c r="B42" s="1" t="s">
        <v>850</v>
      </c>
      <c r="C42" s="1"/>
      <c r="D42" s="1" t="s">
        <v>452</v>
      </c>
      <c r="E42" s="1"/>
      <c r="F42" s="1"/>
      <c r="G42" s="1"/>
      <c r="H42" s="1"/>
      <c r="AY42" t="s">
        <v>603</v>
      </c>
    </row>
    <row r="43" spans="1:51">
      <c r="A43" s="1" t="s">
        <v>851</v>
      </c>
      <c r="B43" s="1" t="s">
        <v>852</v>
      </c>
      <c r="C43" s="1"/>
      <c r="D43" s="1" t="s">
        <v>459</v>
      </c>
      <c r="E43" s="1"/>
      <c r="F43" s="1"/>
      <c r="G43" s="1"/>
      <c r="H43" s="1"/>
      <c r="AY43" t="s">
        <v>605</v>
      </c>
    </row>
    <row r="44" spans="1:51">
      <c r="A44" s="1" t="s">
        <v>853</v>
      </c>
      <c r="B44" s="1" t="s">
        <v>854</v>
      </c>
      <c r="C44" s="1"/>
      <c r="D44" s="1"/>
      <c r="E44" s="1"/>
      <c r="F44" s="1"/>
      <c r="G44" s="1"/>
      <c r="H44" s="1"/>
      <c r="AY44" t="s">
        <v>607</v>
      </c>
    </row>
    <row r="45" spans="1:51">
      <c r="A45" s="1" t="s">
        <v>855</v>
      </c>
      <c r="B45" s="1" t="s">
        <v>856</v>
      </c>
      <c r="C45" s="1"/>
      <c r="D45" s="1"/>
      <c r="E45" s="1"/>
      <c r="F45" s="1"/>
      <c r="G45" s="1"/>
      <c r="H45" s="1"/>
      <c r="AY45" t="s">
        <v>609</v>
      </c>
    </row>
    <row r="46" spans="1:51">
      <c r="A46" s="1" t="s">
        <v>857</v>
      </c>
      <c r="B46" s="1" t="s">
        <v>858</v>
      </c>
      <c r="C46" s="1"/>
      <c r="D46" s="1"/>
      <c r="E46" s="1"/>
      <c r="F46" s="1"/>
      <c r="G46" s="1"/>
      <c r="H46" s="1"/>
      <c r="AY46" t="s">
        <v>612</v>
      </c>
    </row>
    <row r="47" spans="1:51">
      <c r="A47" s="1" t="s">
        <v>859</v>
      </c>
      <c r="B47" s="1" t="s">
        <v>860</v>
      </c>
      <c r="C47" s="1"/>
      <c r="D47" s="1"/>
      <c r="E47" s="1"/>
      <c r="F47" s="1"/>
      <c r="G47" s="1"/>
      <c r="H47" s="1"/>
      <c r="AY47" t="s">
        <v>614</v>
      </c>
    </row>
    <row r="48" spans="1:51">
      <c r="A48" s="1" t="s">
        <v>861</v>
      </c>
      <c r="B48" s="1" t="s">
        <v>862</v>
      </c>
      <c r="C48" s="1"/>
      <c r="D48" s="1"/>
      <c r="E48" s="1"/>
      <c r="F48" s="1"/>
      <c r="G48" s="1"/>
      <c r="H48" s="1"/>
      <c r="AY48" t="s">
        <v>616</v>
      </c>
    </row>
    <row r="49" spans="1:51">
      <c r="A49" s="1" t="s">
        <v>863</v>
      </c>
      <c r="B49" s="1" t="s">
        <v>864</v>
      </c>
      <c r="C49" s="1"/>
      <c r="D49" s="1"/>
      <c r="E49" s="1"/>
      <c r="F49" s="1"/>
      <c r="G49" s="1"/>
      <c r="H49" s="1"/>
      <c r="AY49" t="s">
        <v>619</v>
      </c>
    </row>
    <row r="50" spans="1:51">
      <c r="A50" s="1" t="s">
        <v>865</v>
      </c>
      <c r="B50" s="1" t="s">
        <v>866</v>
      </c>
      <c r="C50" s="1"/>
      <c r="D50" s="1"/>
      <c r="E50" s="1"/>
      <c r="F50" s="1"/>
      <c r="G50" s="1"/>
      <c r="H50" s="1"/>
      <c r="AY50" t="s">
        <v>621</v>
      </c>
    </row>
    <row r="51" spans="1:51">
      <c r="A51" s="1" t="s">
        <v>867</v>
      </c>
      <c r="B51" s="1" t="s">
        <v>868</v>
      </c>
      <c r="C51" s="1"/>
      <c r="D51" s="1"/>
      <c r="E51" s="1"/>
      <c r="F51" s="1"/>
      <c r="G51" s="1"/>
      <c r="H51" s="1"/>
      <c r="AY51" t="s">
        <v>623</v>
      </c>
    </row>
    <row r="52" spans="1:51">
      <c r="A52" s="1" t="s">
        <v>869</v>
      </c>
      <c r="B52" s="1" t="s">
        <v>870</v>
      </c>
      <c r="C52" s="1"/>
      <c r="D52" s="1"/>
      <c r="E52" s="1"/>
      <c r="F52" s="1"/>
      <c r="G52" s="1"/>
      <c r="H52" s="1"/>
      <c r="AY52" t="s">
        <v>625</v>
      </c>
    </row>
    <row r="53" spans="1:51">
      <c r="A53" s="1" t="s">
        <v>871</v>
      </c>
      <c r="B53" s="1" t="s">
        <v>872</v>
      </c>
      <c r="C53" s="1"/>
      <c r="D53" s="1"/>
      <c r="E53" s="1"/>
      <c r="F53" s="1"/>
      <c r="G53" s="1"/>
      <c r="H53" s="1"/>
      <c r="AY53" t="s">
        <v>513</v>
      </c>
    </row>
    <row r="54" spans="1:51">
      <c r="A54" s="1" t="s">
        <v>873</v>
      </c>
      <c r="B54" s="1" t="s">
        <v>874</v>
      </c>
      <c r="C54" s="1"/>
      <c r="D54" s="1"/>
      <c r="E54" s="1"/>
      <c r="F54" s="1"/>
      <c r="G54" s="1"/>
      <c r="H54" s="1"/>
      <c r="AY54" t="s">
        <v>475</v>
      </c>
    </row>
    <row r="55" spans="1:51">
      <c r="A55" s="1"/>
      <c r="B55" s="1"/>
      <c r="C55" s="1"/>
      <c r="D55" s="1"/>
      <c r="E55" s="1"/>
      <c r="F55" s="1"/>
      <c r="G55" s="1"/>
      <c r="H55" s="1"/>
      <c r="AY55" t="s">
        <v>629</v>
      </c>
    </row>
    <row r="56" spans="1:51">
      <c r="A56" s="1"/>
      <c r="B56" s="1"/>
      <c r="C56" s="1"/>
      <c r="D56" s="1"/>
      <c r="E56" s="1"/>
      <c r="F56" s="1"/>
      <c r="G56" s="1"/>
      <c r="H56" s="1"/>
      <c r="AY56" t="s">
        <v>632</v>
      </c>
    </row>
    <row r="57" spans="1:51">
      <c r="A57" s="1"/>
      <c r="B57" s="1"/>
      <c r="C57" s="1"/>
      <c r="D57" s="1"/>
      <c r="E57" s="1"/>
      <c r="F57" s="1"/>
      <c r="G57" s="1"/>
      <c r="H57" s="1"/>
      <c r="AY57" t="s">
        <v>634</v>
      </c>
    </row>
    <row r="58" spans="1:51">
      <c r="A58" s="1"/>
      <c r="B58" s="1"/>
      <c r="C58" s="1"/>
      <c r="D58" s="1"/>
      <c r="E58" s="1"/>
      <c r="F58" s="1"/>
      <c r="G58" s="1"/>
      <c r="H58" s="1"/>
      <c r="AY58" t="s">
        <v>517</v>
      </c>
    </row>
    <row r="59" spans="1:51">
      <c r="A59" s="1"/>
      <c r="B59" s="1"/>
      <c r="C59" s="1"/>
      <c r="D59" s="1"/>
      <c r="E59" s="1"/>
      <c r="F59" s="1"/>
      <c r="G59" s="1"/>
      <c r="H59" s="1"/>
      <c r="AY59" t="s">
        <v>637</v>
      </c>
    </row>
    <row r="60" spans="1:51">
      <c r="A60" s="1"/>
      <c r="B60" s="1"/>
      <c r="C60" s="1"/>
      <c r="D60" s="1"/>
      <c r="E60" s="1"/>
      <c r="F60" s="1"/>
      <c r="G60" s="1"/>
      <c r="H60" s="1"/>
      <c r="AY60" t="s">
        <v>640</v>
      </c>
    </row>
    <row r="61" spans="1:51">
      <c r="A61" s="1"/>
      <c r="B61" s="1"/>
      <c r="C61" s="1"/>
      <c r="D61" s="1"/>
      <c r="E61" s="1"/>
      <c r="F61" s="1"/>
      <c r="G61" s="1"/>
      <c r="H61" s="1"/>
      <c r="AY61" t="s">
        <v>642</v>
      </c>
    </row>
    <row r="62" spans="1:51">
      <c r="A62" s="1"/>
      <c r="B62" s="1"/>
      <c r="C62" s="1"/>
      <c r="D62" s="1"/>
      <c r="E62" s="1"/>
      <c r="F62" s="1"/>
      <c r="G62" s="1"/>
      <c r="H62" s="1"/>
      <c r="AY62" t="s">
        <v>644</v>
      </c>
    </row>
    <row r="63" spans="1:51">
      <c r="A63" s="1"/>
      <c r="B63" s="1"/>
      <c r="C63" s="1"/>
      <c r="D63" s="1"/>
      <c r="E63" s="1"/>
      <c r="F63" s="1"/>
      <c r="G63" s="1"/>
      <c r="H63" s="1"/>
      <c r="AY63" t="s">
        <v>478</v>
      </c>
    </row>
    <row r="64" spans="1:51">
      <c r="A64" s="1"/>
      <c r="B64" s="1"/>
      <c r="C64" s="1"/>
      <c r="D64" s="1"/>
      <c r="E64" s="1"/>
      <c r="F64" s="1"/>
      <c r="G64" s="1"/>
      <c r="H64" s="1"/>
      <c r="AY64" t="s">
        <v>647</v>
      </c>
    </row>
    <row r="65" spans="1:51">
      <c r="A65" s="1"/>
      <c r="B65" s="1"/>
      <c r="C65" s="1"/>
      <c r="D65" s="1"/>
      <c r="E65" s="1"/>
      <c r="F65" s="1"/>
      <c r="G65" s="1"/>
      <c r="H65" s="1"/>
      <c r="AY65" t="s">
        <v>649</v>
      </c>
    </row>
    <row r="66" spans="1:51">
      <c r="A66" s="1"/>
      <c r="B66" s="1"/>
      <c r="C66" s="1"/>
      <c r="D66" s="1"/>
      <c r="E66" s="1"/>
      <c r="F66" s="1"/>
      <c r="G66" s="1"/>
      <c r="H66" s="1"/>
      <c r="AY66" t="s">
        <v>481</v>
      </c>
    </row>
    <row r="67" spans="1:51">
      <c r="A67" s="1"/>
      <c r="B67" s="1"/>
      <c r="C67" s="1"/>
      <c r="D67" s="1"/>
      <c r="E67" s="1"/>
      <c r="F67" s="1"/>
      <c r="G67" s="1"/>
      <c r="H67" s="1"/>
      <c r="AY67" t="s">
        <v>652</v>
      </c>
    </row>
    <row r="68" spans="1:51">
      <c r="A68" s="1"/>
      <c r="B68" s="1"/>
      <c r="C68" s="1"/>
      <c r="D68" s="1"/>
      <c r="E68" s="1"/>
      <c r="F68" s="1"/>
      <c r="G68" s="1"/>
      <c r="H68" s="1"/>
      <c r="AY68" t="s">
        <v>654</v>
      </c>
    </row>
    <row r="69" spans="1:51">
      <c r="A69" s="1"/>
      <c r="B69" s="1"/>
      <c r="C69" s="1"/>
      <c r="D69" s="1"/>
      <c r="E69" s="1"/>
      <c r="F69" s="1"/>
      <c r="G69" s="1"/>
      <c r="H69" s="1"/>
      <c r="AY69" t="s">
        <v>484</v>
      </c>
    </row>
    <row r="70" spans="1:51">
      <c r="A70" s="1"/>
      <c r="B70" s="1"/>
      <c r="C70" s="1"/>
      <c r="D70" s="1"/>
      <c r="E70" s="1"/>
      <c r="F70" s="1"/>
      <c r="G70" s="1"/>
      <c r="H70" s="1"/>
      <c r="AY70" t="s">
        <v>491</v>
      </c>
    </row>
    <row r="71" spans="1:51">
      <c r="A71" s="1"/>
      <c r="B71" s="1"/>
      <c r="C71" s="1"/>
      <c r="D71" s="1"/>
      <c r="E71" s="1"/>
      <c r="F71" s="1"/>
      <c r="G71" s="1"/>
      <c r="H71" s="1"/>
      <c r="AY71" t="s">
        <v>659</v>
      </c>
    </row>
    <row r="72" spans="1:51">
      <c r="A72" s="1"/>
      <c r="B72" s="1"/>
      <c r="C72" s="1"/>
      <c r="D72" s="1"/>
      <c r="E72" s="1"/>
      <c r="F72" s="1"/>
      <c r="G72" s="1"/>
      <c r="H72" s="1"/>
      <c r="AY72" t="s">
        <v>661</v>
      </c>
    </row>
    <row r="73" spans="1:51">
      <c r="A73" s="1"/>
      <c r="B73" s="1"/>
      <c r="C73" s="1"/>
      <c r="D73" s="1"/>
      <c r="E73" s="1"/>
      <c r="F73" s="1"/>
      <c r="G73" s="1"/>
      <c r="H73" s="1"/>
      <c r="AY73" t="s">
        <v>663</v>
      </c>
    </row>
    <row r="74" spans="1:51">
      <c r="A74" s="1"/>
      <c r="B74" s="1"/>
      <c r="C74" s="1"/>
      <c r="D74" s="1"/>
      <c r="E74" s="1"/>
      <c r="F74" s="1"/>
      <c r="G74" s="1"/>
      <c r="H74" s="1"/>
      <c r="AY74" t="s">
        <v>665</v>
      </c>
    </row>
    <row r="75" spans="1:51">
      <c r="A75" s="1"/>
      <c r="B75" s="1"/>
      <c r="C75" s="1"/>
      <c r="D75" s="1"/>
      <c r="E75" s="1"/>
      <c r="F75" s="1"/>
      <c r="G75" s="1"/>
      <c r="H75" s="1"/>
      <c r="AY75" t="s">
        <v>667</v>
      </c>
    </row>
    <row r="76" spans="1:51">
      <c r="A76" s="1"/>
      <c r="B76" s="1"/>
      <c r="C76" s="1"/>
      <c r="D76" s="1"/>
      <c r="E76" s="1"/>
      <c r="F76" s="1"/>
      <c r="G76" s="1"/>
      <c r="H76" s="1"/>
      <c r="AY76" t="s">
        <v>521</v>
      </c>
    </row>
    <row r="77" spans="1:51">
      <c r="A77" s="1"/>
      <c r="B77" s="1"/>
      <c r="C77" s="1"/>
      <c r="D77" s="1"/>
      <c r="E77" s="1"/>
      <c r="F77" s="1"/>
      <c r="G77" s="1"/>
      <c r="H77" s="1"/>
      <c r="AY77" t="s">
        <v>487</v>
      </c>
    </row>
    <row r="78" spans="1:51">
      <c r="A78" s="1"/>
      <c r="B78" s="1"/>
      <c r="C78" s="1"/>
      <c r="D78" s="1"/>
      <c r="E78" s="1"/>
      <c r="F78" s="1"/>
      <c r="G78" s="1"/>
      <c r="H78" s="1"/>
    </row>
    <row r="79" spans="1:51">
      <c r="A79" s="1"/>
      <c r="B79" s="1"/>
      <c r="C79" s="1"/>
      <c r="D79" s="1"/>
      <c r="E79" s="1"/>
      <c r="F79" s="1"/>
      <c r="G79" s="1"/>
      <c r="H79" s="1"/>
    </row>
    <row r="80" spans="1:51">
      <c r="A80" s="1"/>
      <c r="B80" s="1"/>
      <c r="C80" s="1"/>
      <c r="D80" s="1"/>
      <c r="E80" s="1"/>
      <c r="F80" s="1"/>
      <c r="G80" s="1"/>
      <c r="H80" s="1"/>
    </row>
    <row r="81" spans="1:8">
      <c r="A81" s="1"/>
      <c r="B81" s="1"/>
      <c r="C81" s="1"/>
      <c r="D81" s="1"/>
      <c r="E81" s="1"/>
      <c r="F81" s="1"/>
      <c r="G81" s="1"/>
      <c r="H81" s="1"/>
    </row>
    <row r="82" spans="1:8">
      <c r="A82" s="1"/>
      <c r="B82" s="1"/>
      <c r="C82" s="1"/>
      <c r="D82" s="1"/>
      <c r="E82" s="1"/>
      <c r="F82" s="1"/>
      <c r="G82" s="1"/>
      <c r="H82" s="1"/>
    </row>
    <row r="83" spans="1:8">
      <c r="A83" s="1"/>
      <c r="B83" s="1"/>
      <c r="C83" s="1"/>
      <c r="D83" s="1"/>
      <c r="E83" s="1"/>
      <c r="F83" s="1"/>
      <c r="G83" s="1"/>
      <c r="H83" s="1"/>
    </row>
    <row r="84" spans="1:8">
      <c r="A84" s="1"/>
      <c r="B84" s="1"/>
      <c r="C84" s="1"/>
      <c r="D84" s="1"/>
      <c r="E84" s="1"/>
      <c r="F84" s="1"/>
      <c r="G84" s="1"/>
      <c r="H84" s="1"/>
    </row>
    <row r="85" spans="1:8">
      <c r="A85" s="1"/>
      <c r="B85" s="1"/>
      <c r="C85" s="1"/>
      <c r="D85" s="1"/>
      <c r="E85" s="1"/>
      <c r="F85" s="1"/>
      <c r="G85" s="1"/>
      <c r="H85" s="1"/>
    </row>
    <row r="86" spans="1:8">
      <c r="A86" s="1"/>
      <c r="B86" s="1"/>
      <c r="C86" s="1"/>
      <c r="D86" s="1"/>
      <c r="E86" s="1"/>
      <c r="F86" s="1"/>
      <c r="G86" s="1"/>
      <c r="H86" s="1"/>
    </row>
    <row r="87" spans="1:8">
      <c r="A87" s="1"/>
      <c r="B87" s="1"/>
      <c r="C87" s="1"/>
      <c r="D87" s="1"/>
      <c r="E87" s="1"/>
      <c r="F87" s="1"/>
      <c r="G87" s="1"/>
      <c r="H87" s="1"/>
    </row>
    <row r="88" spans="1:8">
      <c r="A88" s="1"/>
      <c r="B88" s="1"/>
      <c r="C88" s="1"/>
      <c r="D88" s="1"/>
      <c r="E88" s="1"/>
      <c r="F88" s="1"/>
      <c r="G88" s="1"/>
      <c r="H88" s="1"/>
    </row>
    <row r="89" spans="1:8">
      <c r="A89" s="1"/>
      <c r="B89" s="1"/>
      <c r="C89" s="1"/>
      <c r="D89" s="1"/>
      <c r="E89" s="1"/>
      <c r="F89" s="1"/>
      <c r="G89" s="1"/>
      <c r="H89" s="1"/>
    </row>
    <row r="90" spans="1:8">
      <c r="A90" s="1"/>
      <c r="B90" s="1"/>
      <c r="C90" s="1"/>
      <c r="D90" s="1"/>
      <c r="E90" s="1"/>
      <c r="F90" s="1"/>
      <c r="G90" s="1"/>
      <c r="H90" s="1"/>
    </row>
    <row r="91" spans="1:8">
      <c r="A91" s="1"/>
      <c r="B91" s="1"/>
      <c r="C91" s="1"/>
      <c r="D91" s="1"/>
      <c r="E91" s="1"/>
      <c r="F91" s="1"/>
      <c r="G91" s="1"/>
      <c r="H91" s="1"/>
    </row>
    <row r="92" spans="1:8">
      <c r="A92" s="1"/>
      <c r="B92" s="1"/>
      <c r="C92" s="1"/>
      <c r="D92" s="1"/>
      <c r="E92" s="1"/>
      <c r="F92" s="1"/>
      <c r="G92" s="1"/>
      <c r="H92" s="1"/>
    </row>
    <row r="93" spans="1:8">
      <c r="A93" s="1"/>
      <c r="B93" s="1"/>
      <c r="C93" s="1"/>
      <c r="D93" s="1"/>
      <c r="E93" s="1"/>
      <c r="F93" s="1"/>
      <c r="G93" s="1"/>
      <c r="H93" s="1"/>
    </row>
    <row r="94" spans="1:8">
      <c r="A94" s="1"/>
      <c r="B94" s="1"/>
      <c r="C94" s="1"/>
      <c r="D94" s="1"/>
      <c r="E94" s="1"/>
      <c r="F94" s="1"/>
      <c r="G94" s="1"/>
      <c r="H94" s="1"/>
    </row>
    <row r="95" spans="1:8">
      <c r="A95" s="1"/>
      <c r="B95" s="1"/>
      <c r="C95" s="1"/>
      <c r="D95" s="1"/>
      <c r="E95" s="1"/>
      <c r="F95" s="1"/>
      <c r="G95" s="1"/>
      <c r="H95" s="1"/>
    </row>
    <row r="96" spans="1:8">
      <c r="A96" s="1"/>
      <c r="B96" s="1"/>
      <c r="C96" s="1"/>
      <c r="D96" s="1"/>
      <c r="E96" s="1"/>
      <c r="F96" s="1"/>
      <c r="G96" s="1"/>
      <c r="H96" s="1"/>
    </row>
    <row r="97" spans="1:8">
      <c r="A97" s="1"/>
      <c r="B97" s="1"/>
      <c r="C97" s="1"/>
      <c r="D97" s="1"/>
      <c r="E97" s="1"/>
      <c r="F97" s="1"/>
      <c r="G97" s="1"/>
      <c r="H97" s="1"/>
    </row>
    <row r="98" spans="1:8">
      <c r="A98" s="1"/>
      <c r="B98" s="1"/>
      <c r="C98" s="1"/>
      <c r="D98" s="1"/>
      <c r="E98" s="1"/>
      <c r="F98" s="1"/>
      <c r="G98" s="1"/>
      <c r="H98" s="1"/>
    </row>
    <row r="99" spans="1:8">
      <c r="A99" s="1"/>
      <c r="B99" s="1"/>
      <c r="C99" s="1"/>
      <c r="D99" s="1"/>
      <c r="E99" s="1"/>
      <c r="F99" s="1"/>
      <c r="G99" s="1"/>
      <c r="H99" s="1"/>
    </row>
    <row r="100" spans="1:8">
      <c r="A100" s="1"/>
      <c r="B100" s="1"/>
      <c r="C100" s="1"/>
      <c r="D100" s="1"/>
      <c r="E100" s="1"/>
      <c r="F100" s="1"/>
      <c r="G100" s="1"/>
      <c r="H100" s="1"/>
    </row>
    <row r="101" spans="1:8">
      <c r="A101" s="1"/>
      <c r="B101" s="1"/>
      <c r="C101" s="1"/>
      <c r="D101" s="1"/>
      <c r="E101" s="1"/>
      <c r="F101" s="1"/>
      <c r="G101" s="1"/>
      <c r="H101" s="1"/>
    </row>
    <row r="102" spans="1:8">
      <c r="A102" s="1"/>
      <c r="B102" s="1"/>
      <c r="C102" s="1"/>
      <c r="D102" s="1"/>
      <c r="E102" s="1"/>
      <c r="F102" s="1"/>
      <c r="G102" s="1"/>
      <c r="H102" s="1"/>
    </row>
    <row r="103" spans="1:8">
      <c r="A103" s="1"/>
      <c r="B103" s="1"/>
      <c r="C103" s="1"/>
      <c r="D103" s="1"/>
      <c r="E103" s="1"/>
      <c r="F103" s="1"/>
      <c r="G103" s="1"/>
      <c r="H103" s="1"/>
    </row>
    <row r="104" spans="1:8">
      <c r="A104" s="1"/>
      <c r="B104" s="1"/>
      <c r="C104" s="1"/>
      <c r="D104" s="1"/>
      <c r="E104" s="1"/>
      <c r="F104" s="1"/>
      <c r="G104" s="1"/>
      <c r="H104" s="1"/>
    </row>
    <row r="105" spans="1:8">
      <c r="A105" s="1"/>
      <c r="B105" s="1"/>
      <c r="C105" s="1"/>
      <c r="D105" s="1"/>
      <c r="E105" s="1"/>
      <c r="F105" s="1"/>
      <c r="G105" s="1"/>
      <c r="H105" s="1"/>
    </row>
    <row r="106" spans="1:8">
      <c r="A106" s="1"/>
      <c r="B106" s="1"/>
      <c r="C106" s="1"/>
      <c r="D106" s="1"/>
      <c r="E106" s="1"/>
      <c r="F106" s="1"/>
      <c r="G106" s="1"/>
      <c r="H106" s="1"/>
    </row>
    <row r="107" spans="1:8">
      <c r="A107" s="1"/>
      <c r="B107" s="1"/>
      <c r="C107" s="1"/>
      <c r="D107" s="1"/>
      <c r="E107" s="1"/>
      <c r="F107" s="1"/>
      <c r="G107" s="1"/>
      <c r="H107" s="1"/>
    </row>
    <row r="108" spans="1:8">
      <c r="A108" s="1"/>
      <c r="B108" s="1"/>
      <c r="C108" s="1"/>
      <c r="D108" s="1"/>
      <c r="E108" s="1"/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Labels</vt:lpstr>
      <vt:lpstr>Catalog</vt:lpstr>
      <vt:lpstr>Lists</vt:lpstr>
      <vt:lpstr>C_1</vt:lpstr>
      <vt:lpstr>C_10</vt:lpstr>
      <vt:lpstr>C_11</vt:lpstr>
      <vt:lpstr>C_12</vt:lpstr>
      <vt:lpstr>C_13</vt:lpstr>
      <vt:lpstr>C_14</vt:lpstr>
      <vt:lpstr>C_15</vt:lpstr>
      <vt:lpstr>C_16</vt:lpstr>
      <vt:lpstr>C_17</vt:lpstr>
      <vt:lpstr>C_18</vt:lpstr>
      <vt:lpstr>C_19</vt:lpstr>
      <vt:lpstr>C_2</vt:lpstr>
      <vt:lpstr>C_20</vt:lpstr>
      <vt:lpstr>C_21</vt:lpstr>
      <vt:lpstr>C_22</vt:lpstr>
      <vt:lpstr>C_23</vt:lpstr>
      <vt:lpstr>C_24</vt:lpstr>
      <vt:lpstr>C_25</vt:lpstr>
      <vt:lpstr>C_26</vt:lpstr>
      <vt:lpstr>C_27</vt:lpstr>
      <vt:lpstr>C_28</vt:lpstr>
      <vt:lpstr>C_29</vt:lpstr>
      <vt:lpstr>C_3</vt:lpstr>
      <vt:lpstr>C_30</vt:lpstr>
      <vt:lpstr>C_31</vt:lpstr>
      <vt:lpstr>C_32</vt:lpstr>
      <vt:lpstr>C_33</vt:lpstr>
      <vt:lpstr>C_34</vt:lpstr>
      <vt:lpstr>C_35</vt:lpstr>
      <vt:lpstr>C_36</vt:lpstr>
      <vt:lpstr>C_37</vt:lpstr>
      <vt:lpstr>C_38</vt:lpstr>
      <vt:lpstr>C_39</vt:lpstr>
      <vt:lpstr>C_4</vt:lpstr>
      <vt:lpstr>C_40</vt:lpstr>
      <vt:lpstr>C_41</vt:lpstr>
      <vt:lpstr>C_42</vt:lpstr>
      <vt:lpstr>C_43</vt:lpstr>
      <vt:lpstr>C_44</vt:lpstr>
      <vt:lpstr>C_45</vt:lpstr>
      <vt:lpstr>C_46</vt:lpstr>
      <vt:lpstr>C_47</vt:lpstr>
      <vt:lpstr>C_48</vt:lpstr>
      <vt:lpstr>C_5</vt:lpstr>
      <vt:lpstr>C_6</vt:lpstr>
      <vt:lpstr>C_7</vt:lpstr>
      <vt:lpstr>C_8</vt:lpstr>
      <vt:lpstr>C_9</vt:lpstr>
      <vt:lpstr>EmptyList</vt:lpstr>
      <vt:lpstr>M_1</vt:lpstr>
      <vt:lpstr>M_2</vt:lpstr>
      <vt:lpstr>Manufacturers</vt:lpstr>
      <vt:lpstr>TypeLookup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Avi Avivi</cp:lastModifiedBy>
  <dcterms:created xsi:type="dcterms:W3CDTF">2026-09-13T15:41:34Z</dcterms:created>
  <dcterms:modified xsi:type="dcterms:W3CDTF">2026-09-13T17:05:21Z</dcterms:modified>
</cp:coreProperties>
</file>